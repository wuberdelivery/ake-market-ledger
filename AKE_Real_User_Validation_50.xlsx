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ummary" sheetId="2" state="visible" r:id="rId2"/>
    <sheet xmlns:r="http://schemas.openxmlformats.org/officeDocument/2006/relationships" name="Interactions" sheetId="3" state="visible" r:id="rId3"/>
    <sheet xmlns:r="http://schemas.openxmlformats.org/officeDocument/2006/relationships" name="Lists" sheetId="4" state="hidden" r:id="rId4"/>
    <sheet xmlns:r="http://schemas.openxmlformats.org/officeDocument/2006/relationships" name="Test Plan" sheetId="5" state="visible" r:id="rId5"/>
  </sheets>
  <definedNames>
    <definedName name="_xlnm._FilterDatabase" localSheetId="2" hidden="1">'Interactions'!$A$1:$AD$51</definedName>
  </definedNames>
  <calcPr calcId="124519" calcMode="auto" fullCalcOnLoad="1" forceFullCalc="1"/>
</workbook>
</file>

<file path=xl/styles.xml><?xml version="1.0" encoding="utf-8"?>
<styleSheet xmlns="http://schemas.openxmlformats.org/spreadsheetml/2006/main">
  <numFmts count="2">
    <numFmt numFmtId="164" formatCode="yyyy-mm-dd h:mm:ss"/>
    <numFmt numFmtId="165" formatCode="dd mmm yyyy hh:mm:ss &quot;WAT&quot;"/>
  </numFmts>
  <fonts count="9">
    <font>
      <name val="Calibri"/>
      <family val="2"/>
      <color theme="1"/>
      <sz val="11"/>
      <scheme val="minor"/>
    </font>
    <font>
      <b val="1"/>
      <color rgb="00FFFFFF"/>
      <sz val="20"/>
    </font>
    <font>
      <b val="1"/>
      <color rgb="000E5A2A"/>
    </font>
    <font>
      <b val="1"/>
      <color rgb="00FFFFFF"/>
      <sz val="14"/>
    </font>
    <font>
      <b val="1"/>
      <color rgb="00FFFFFF"/>
    </font>
    <font>
      <color rgb="00667085"/>
    </font>
    <font>
      <b val="1"/>
      <color rgb="001F2933"/>
    </font>
    <font>
      <b val="1"/>
      <color rgb="000E5A2A"/>
      <sz val="12"/>
    </font>
    <font>
      <b val="1"/>
      <color rgb="00E85D04"/>
    </font>
  </fonts>
  <fills count="10">
    <fill>
      <patternFill/>
    </fill>
    <fill>
      <patternFill patternType="gray125"/>
    </fill>
    <fill>
      <patternFill patternType="solid">
        <fgColor rgb="0018833E"/>
      </patternFill>
    </fill>
    <fill>
      <patternFill patternType="solid">
        <fgColor rgb="00E8F5EC"/>
      </patternFill>
    </fill>
    <fill>
      <patternFill patternType="solid">
        <fgColor rgb="00E85D04"/>
      </patternFill>
    </fill>
    <fill>
      <patternFill patternType="solid">
        <fgColor rgb="00FFF9EC"/>
      </patternFill>
    </fill>
    <fill>
      <patternFill patternType="solid">
        <fgColor rgb="00F2F4F7"/>
      </patternFill>
    </fill>
    <fill>
      <patternFill patternType="solid">
        <fgColor rgb="00FFF0E5"/>
      </patternFill>
    </fill>
    <fill>
      <patternFill patternType="solid">
        <fgColor rgb="00FDE2E2"/>
      </patternFill>
    </fill>
    <fill>
      <patternFill patternType="solid">
        <fgColor rgb="00E4F4E7"/>
      </patternFill>
    </fill>
  </fills>
  <borders count="3">
    <border>
      <left/>
      <right/>
      <top/>
      <bottom/>
      <diagonal/>
    </border>
    <border>
      <bottom style="hair">
        <color rgb="00D0D5DD"/>
      </bottom>
    </border>
    <border>
      <bottom style="thin">
        <color rgb="00D0D5DD"/>
      </bottom>
    </border>
  </borders>
  <cellStyleXfs count="1">
    <xf numFmtId="0" fontId="0" fillId="0" borderId="0"/>
  </cellStyleXfs>
  <cellXfs count="24">
    <xf numFmtId="0" fontId="0" fillId="0" borderId="0" pivotButton="0" quotePrefix="0" xfId="0"/>
    <xf numFmtId="0" fontId="1" fillId="2" borderId="0" applyAlignment="1" pivotButton="0" quotePrefix="0" xfId="0">
      <alignment vertical="center"/>
    </xf>
    <xf numFmtId="0" fontId="2" fillId="3" borderId="0" pivotButton="0" quotePrefix="0" xfId="0"/>
    <xf numFmtId="0" fontId="0" fillId="0" borderId="0" applyAlignment="1" pivotButton="0" quotePrefix="0" xfId="0">
      <alignment vertical="top" wrapText="1"/>
    </xf>
    <xf numFmtId="0" fontId="3" fillId="4" borderId="0" pivotButton="0" quotePrefix="0" xfId="0"/>
    <xf numFmtId="0" fontId="0" fillId="5" borderId="0" applyAlignment="1" pivotButton="0" quotePrefix="0" xfId="0">
      <alignment wrapText="1"/>
    </xf>
    <xf numFmtId="0" fontId="1" fillId="2" borderId="0" pivotButton="0" quotePrefix="0" xfId="0"/>
    <xf numFmtId="0" fontId="6" fillId="3" borderId="0" pivotButton="0" quotePrefix="0" xfId="0"/>
    <xf numFmtId="0" fontId="7" fillId="3" borderId="0" applyAlignment="1" pivotButton="0" quotePrefix="0" xfId="0">
      <alignment horizontal="center"/>
    </xf>
    <xf numFmtId="0" fontId="6" fillId="5" borderId="0" pivotButton="0" quotePrefix="0" xfId="0"/>
    <xf numFmtId="0" fontId="7" fillId="5" borderId="0" applyAlignment="1" pivotButton="0" quotePrefix="0" xfId="0">
      <alignment horizontal="center"/>
    </xf>
    <xf numFmtId="0" fontId="4" fillId="4" borderId="0" pivotButton="0" quotePrefix="0" xfId="0"/>
    <xf numFmtId="0" fontId="0" fillId="7" borderId="0" applyAlignment="1" pivotButton="0" quotePrefix="0" xfId="0">
      <alignment wrapText="1"/>
    </xf>
    <xf numFmtId="0" fontId="4" fillId="2" borderId="0" applyAlignment="1" pivotButton="0" quotePrefix="0" xfId="0">
      <alignment horizontal="center" vertical="center" wrapText="1"/>
    </xf>
    <xf numFmtId="0" fontId="5" fillId="6" borderId="1" applyAlignment="1" pivotButton="0" quotePrefix="0" xfId="0">
      <alignment vertical="top" wrapText="1"/>
    </xf>
    <xf numFmtId="0" fontId="0" fillId="0" borderId="1" applyAlignment="1" pivotButton="0" quotePrefix="0" xfId="0">
      <alignment vertical="top" wrapText="1"/>
    </xf>
    <xf numFmtId="0" fontId="4" fillId="2" borderId="0" applyAlignment="1" pivotButton="0" quotePrefix="0" xfId="0">
      <alignment horizontal="center" wrapText="1"/>
    </xf>
    <xf numFmtId="0" fontId="0" fillId="0" borderId="2" applyAlignment="1" pivotButton="0" quotePrefix="0" xfId="0">
      <alignment vertical="top" wrapText="1"/>
    </xf>
    <xf numFmtId="0" fontId="8" fillId="7" borderId="1" applyAlignment="1" pivotButton="0" quotePrefix="0" xfId="0">
      <alignment vertical="top" wrapText="1"/>
    </xf>
    <xf numFmtId="0" fontId="0" fillId="7" borderId="0" applyAlignment="1" pivotButton="0" quotePrefix="0" xfId="0">
      <alignment vertical="top" wrapText="1"/>
    </xf>
    <xf numFmtId="165" fontId="0" fillId="0"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cellXfs>
  <cellStyles count="1">
    <cellStyle name="Normal" xfId="0" builtinId="0" hidden="0"/>
  </cellStyles>
  <dxfs count="3">
    <dxf>
      <fill>
        <patternFill patternType="solid">
          <fgColor rgb="00E8F5EC"/>
        </patternFill>
      </fill>
    </dxf>
    <dxf>
      <font>
        <b val="1"/>
        <color rgb="00C62828"/>
      </font>
      <fill>
        <patternFill patternType="solid">
          <fgColor rgb="00FDECEC"/>
        </patternFill>
      </fill>
    </dxf>
    <dxf>
      <font>
        <b val="1"/>
        <color rgb="00E85D04"/>
      </font>
      <fill>
        <patternFill patternType="solid">
          <fgColor rgb="00FFF0E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C25"/>
  <sheetViews>
    <sheetView showGridLines="0" workbookViewId="0">
      <selection activeCell="A1" sqref="A1"/>
    </sheetView>
  </sheetViews>
  <sheetFormatPr baseColWidth="8" defaultRowHeight="15"/>
  <cols>
    <col width="4" customWidth="1" min="1" max="1"/>
    <col width="28" customWidth="1" min="2" max="2"/>
    <col width="90" customWidth="1" min="3" max="3"/>
  </cols>
  <sheetData>
    <row r="2" ht="38" customHeight="1">
      <c r="B2" s="1" t="inlineStr">
        <is>
          <t>AKE Market Ledger — 50 Real-User Voice Interactions</t>
        </is>
      </c>
    </row>
    <row r="4" ht="42" customHeight="1">
      <c r="B4" s="2" t="inlineStr">
        <is>
          <t>Purpose</t>
        </is>
      </c>
      <c r="C4" s="3" t="inlineStr">
        <is>
          <t>Truthfully document at least 50 genuine voice interactions with the working app and official N-ATLaS ASR. Automated tests, generated audio, typed transcripts and invented entries do not count.</t>
        </is>
      </c>
    </row>
    <row r="5" ht="42" customHeight="1">
      <c r="B5" s="2" t="inlineStr">
        <is>
          <t>Recommended plan</t>
        </is>
      </c>
      <c r="C5" s="3" t="inlineStr">
        <is>
          <t>Invite 10 adult volunteers and run 5 distinct voice attempts per person. Fewer people may perform more attempts, but report the exact unique-participant count and do not imply 50 unique people.</t>
        </is>
      </c>
    </row>
    <row r="6" ht="52" customHeight="1">
      <c r="B6" s="2" t="inlineStr">
        <is>
          <t>Consent script</t>
        </is>
      </c>
      <c r="C6" s="3" t="inlineStr">
        <is>
          <t>“We are testing a voice bookkeeping application. Your short recording will be processed for transcription and will not be retained by our server. We will record only an anonymous participant code and the test result. You may stop at any time. May we continue?”</t>
        </is>
      </c>
    </row>
    <row r="7" ht="42" customHeight="1">
      <c r="B7" s="2" t="inlineStr">
        <is>
          <t>Consent rule</t>
        </is>
      </c>
      <c r="C7" s="3" t="inlineStr">
        <is>
          <t>Enter Yes only after the participant clearly agrees. Do not count a row without consent. Do not collect names, phone numbers, contacts or raw voice recordings.</t>
        </is>
      </c>
    </row>
    <row r="8" ht="42" customHeight="1">
      <c r="B8" s="2" t="inlineStr">
        <is>
          <t>One interaction</t>
        </is>
      </c>
      <c r="C8" s="3" t="inlineStr">
        <is>
          <t>One deliberate microphone attempt with a known expected product, quantity and payment; copy the exact displayed transcript and interpreted result. A safe failure still belongs in the log.</t>
        </is>
      </c>
    </row>
    <row r="9" ht="42" customHeight="1">
      <c r="B9" s="2" t="inlineStr">
        <is>
          <t>Before each attempt</t>
        </is>
      </c>
      <c r="C9" s="3" t="inlineStr">
        <is>
          <t>Confirm Ake Ledger 1.1.4 is installed, choose the intended language, check connectivity, choose a saved product with known unit/price, and state the expected result before recording.</t>
        </is>
      </c>
    </row>
    <row r="10" ht="42" customHeight="1">
      <c r="B10" s="2" t="inlineStr">
        <is>
          <t>During each attempt</t>
        </is>
      </c>
      <c r="C10" s="3" t="inlineStr">
        <is>
          <t>Start only through Voice Sale. Speak naturally. Record latency from microphone release until a transcript/error appears. Never change a result to make it look successful.</t>
        </is>
      </c>
    </row>
    <row r="11" ht="42" customHeight="1">
      <c r="B11" s="2" t="inlineStr">
        <is>
          <t>After each attempt</t>
        </is>
      </c>
      <c r="C11" s="3" t="inlineStr">
        <is>
          <t>Copy the exact ASR transcript, parsed fields, correction needed and final outcome. If saving test transactions, use test stock and reverse them through History after evidence is captured.</t>
        </is>
      </c>
    </row>
    <row r="12" ht="42" customHeight="1">
      <c r="B12" s="2" t="inlineStr">
        <is>
          <t>Screenshots</t>
        </is>
      </c>
      <c r="C12" s="3" t="inlineStr">
        <is>
          <t>Optional. Use anonymous filenames such as I001.png. Crop or redact notifications, names, phone numbers and other personal information.</t>
        </is>
      </c>
    </row>
    <row r="13" ht="42" customHeight="1">
      <c r="B13" s="2" t="inlineStr">
        <is>
          <t>Completion rule</t>
        </is>
      </c>
      <c r="C13" s="3" t="inlineStr">
        <is>
          <t>The Summary counts only rows with Date/time, Consent = Yes, and an exact ASR transcript or exact displayed error. Review all 50 rows before submission.</t>
        </is>
      </c>
    </row>
    <row r="16">
      <c r="B16" s="4" t="inlineStr">
        <is>
          <t>Fast field-session checklist</t>
        </is>
      </c>
    </row>
    <row r="17" ht="25" customHeight="1">
      <c r="B17" s="5" t="inlineStr">
        <is>
          <t>1. Assign only a code: P01, P02, …</t>
        </is>
      </c>
    </row>
    <row r="18" ht="25" customHeight="1">
      <c r="B18" s="5" t="inlineStr">
        <is>
          <t>2. Read the consent script and obtain a clear Yes.</t>
        </is>
      </c>
    </row>
    <row r="19" ht="25" customHeight="1">
      <c r="B19" s="5" t="inlineStr">
        <is>
          <t>3. Choose one scenario from the Test Plan.</t>
        </is>
      </c>
    </row>
    <row r="20" ht="25" customHeight="1">
      <c r="B20" s="5" t="inlineStr">
        <is>
          <t>4. Write the expected transaction before recording.</t>
        </is>
      </c>
    </row>
    <row r="21" ht="25" customHeight="1">
      <c r="B21" s="5" t="inlineStr">
        <is>
          <t>5. Run Voice Sale and copy the exact displayed result.</t>
        </is>
      </c>
    </row>
    <row r="22" ht="25" customHeight="1">
      <c r="B22" s="5" t="inlineStr">
        <is>
          <t>6. Correct or cancel safely; never allow an uncertain result to save silently.</t>
        </is>
      </c>
    </row>
    <row r="23" ht="25" customHeight="1">
      <c r="B23" s="5" t="inlineStr">
        <is>
          <t>7. Complete the row immediately, then proceed to the next attempt.</t>
        </is>
      </c>
    </row>
    <row r="24">
      <c r="A24" t="inlineStr">
        <is>
          <t>Evidence limitation for this completed session</t>
        </is>
      </c>
    </row>
    <row r="25" ht="55" customHeight="1">
      <c r="A25" s="3" t="inlineStr">
        <is>
          <t>The server log verifies 50 consented, participant-coded attempts. Client transcripts were not retained by design. Screenshots/videos support detailed result scoring for a subset; remaining transcript cells explicitly say not captured rather than inventing outcomes.</t>
        </is>
      </c>
    </row>
  </sheetData>
  <mergeCells count="9">
    <mergeCell ref="B21:C21"/>
    <mergeCell ref="B16:C16"/>
    <mergeCell ref="B2:C2"/>
    <mergeCell ref="B19:C19"/>
    <mergeCell ref="B20:C20"/>
    <mergeCell ref="B23:C23"/>
    <mergeCell ref="B22:C22"/>
    <mergeCell ref="B17:C17"/>
    <mergeCell ref="B18:C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19"/>
  <sheetViews>
    <sheetView showGridLines="0" workbookViewId="0">
      <selection activeCell="A1" sqref="A1"/>
    </sheetView>
  </sheetViews>
  <sheetFormatPr baseColWidth="8" defaultRowHeight="15"/>
  <cols>
    <col width="4" customWidth="1" min="1" max="1"/>
    <col width="40" customWidth="1" min="2" max="2"/>
    <col width="24" customWidth="1" min="3" max="3"/>
  </cols>
  <sheetData>
    <row r="2" ht="38" customHeight="1">
      <c r="B2" s="6" t="inlineStr">
        <is>
          <t>Validation Summary</t>
        </is>
      </c>
    </row>
    <row r="4" ht="27" customHeight="1">
      <c r="B4" s="7" t="inlineStr">
        <is>
          <t>Server-verified consented voice interactions</t>
        </is>
      </c>
      <c r="C4" s="8">
        <f>COUNTIFS(Interactions!$D$2:$D$51,"Yes",Interactions!$B$2:$B$51,"&lt;&gt;",Interactions!$AA$2:$AA$51,"&lt;&gt;",Interactions!$AB$2:$AB$51,"&lt;&gt;")</f>
        <v/>
      </c>
    </row>
    <row r="5" ht="27" customHeight="1">
      <c r="B5" s="9" t="inlineStr">
        <is>
          <t>Required threshold</t>
        </is>
      </c>
      <c r="C5" s="10" t="n">
        <v>50</v>
      </c>
    </row>
    <row r="6" ht="27" customHeight="1">
      <c r="B6" s="7" t="inlineStr">
        <is>
          <t>Remaining</t>
        </is>
      </c>
      <c r="C6" s="8">
        <f>MAX(0,C5-C4)</f>
        <v/>
      </c>
    </row>
    <row r="7" ht="27" customHeight="1">
      <c r="B7" s="9" t="inlineStr">
        <is>
          <t>Unique participant codes</t>
        </is>
      </c>
      <c r="C7" s="10">
        <f>IFERROR(COUNTA(UNIQUE(FILTER(Interactions!$C$2:$C$51,(Interactions!$D$2:$D$51="Yes")*(Interactions!$B$2:$B$51&lt;&gt;"")))),0)</f>
        <v/>
      </c>
    </row>
    <row r="8" ht="27" customHeight="1">
      <c r="B8" s="7" t="inlineStr">
        <is>
          <t>English interactions</t>
        </is>
      </c>
      <c r="C8" s="8">
        <f>COUNTIFS(Interactions!$D$2:$D$51,"Yes",Interactions!$F$2:$F$51,"English")</f>
        <v/>
      </c>
    </row>
    <row r="9" ht="27" customHeight="1">
      <c r="B9" s="9" t="inlineStr">
        <is>
          <t>Yoruba interactions</t>
        </is>
      </c>
      <c r="C9" s="10">
        <f>COUNTIFS(Interactions!$D$2:$D$51,"Yes",Interactions!$F$2:$F$51,"Yoruba")</f>
        <v/>
      </c>
    </row>
    <row r="10" ht="27" customHeight="1">
      <c r="B10" s="7" t="inlineStr">
        <is>
          <t>Hausa interactions</t>
        </is>
      </c>
      <c r="C10" s="8">
        <f>COUNTIFS(Interactions!$D$2:$D$51,"Yes",Interactions!$F$2:$F$51,"Hausa")</f>
        <v/>
      </c>
    </row>
    <row r="11" ht="27" customHeight="1">
      <c r="B11" s="9" t="inlineStr">
        <is>
          <t>Igbo interactions</t>
        </is>
      </c>
      <c r="C11" s="10">
        <f>COUNTIFS(Interactions!$D$2:$D$51,"Yes",Interactions!$F$2:$F$51,"Igbo")</f>
        <v/>
      </c>
    </row>
    <row r="12" ht="27" customHeight="1">
      <c r="B12" s="7" t="inlineStr">
        <is>
          <t>Acceptable transcripts in captured quality sample</t>
        </is>
      </c>
      <c r="C12" s="8">
        <f>COUNTIFS(Interactions!$D$2:$D$51,"Yes",Interactions!$W$2:$W$51,"Yes")</f>
        <v/>
      </c>
    </row>
    <row r="13" ht="27" customHeight="1">
      <c r="B13" s="9" t="inlineStr">
        <is>
          <t>Correct intents in captured quality sample</t>
        </is>
      </c>
      <c r="C13" s="10">
        <f>COUNTIFS(Interactions!$D$2:$D$51,"Yes",Interactions!$AD$2:$AD$51,"Yes")</f>
        <v/>
      </c>
    </row>
    <row r="14" ht="27" customHeight="1">
      <c r="B14" s="7" t="inlineStr">
        <is>
          <t>Corrections required in captured quality sample</t>
        </is>
      </c>
      <c r="C14" s="8">
        <f>COUNTIFS(Interactions!$D$2:$D$51,"Yes",Interactions!$X$2:$X$51,"Yes")</f>
        <v/>
      </c>
    </row>
    <row r="15" ht="27" customHeight="1">
      <c r="B15" s="9" t="inlineStr">
        <is>
          <t>Successful observed recoveries</t>
        </is>
      </c>
      <c r="C15" s="10">
        <f>COUNTIFS(Interactions!$D$2:$D$51,"Yes",Interactions!$Y$2:$Y$51,"Yes")</f>
        <v/>
      </c>
    </row>
    <row r="16" ht="27" customHeight="1">
      <c r="B16" s="7" t="inlineStr">
        <is>
          <t>Median latency (not measured)</t>
        </is>
      </c>
      <c r="C16" s="8" t="inlineStr">
        <is>
          <t>Not measured</t>
        </is>
      </c>
    </row>
    <row r="17">
      <c r="B17" t="inlineStr">
        <is>
          <t>Detailed displayed transcript/error captured</t>
        </is>
      </c>
      <c r="C17">
        <f>COUNTIFS(Interactions!$O$2:$O$51,"&lt;&gt;Not captured in supplied client evidence",Interactions!$O$2:$O$51,"&lt;&gt;")</f>
        <v/>
      </c>
    </row>
    <row r="18">
      <c r="B18" t="inlineStr">
        <is>
          <t>Requests lacking captured client transcript</t>
        </is>
      </c>
      <c r="C18">
        <f>COUNTIF(Interactions!$O$2:$O$51,"Not captured in supplied client evidence")</f>
        <v/>
      </c>
    </row>
    <row r="19" ht="60" customHeight="1">
      <c r="B19" s="11" t="inlineStr">
        <is>
          <t>Submission integrity note</t>
        </is>
      </c>
      <c r="C19" s="19" t="inlineStr">
        <is>
          <t>50 genuine server requests are verified (49 HTTP 200; 1 safe HTTP 422). Only the supplied screenshots/videos support detailed transcript-level scoring; missing client transcripts were not invented.</t>
        </is>
      </c>
    </row>
  </sheetData>
  <mergeCells count="1">
    <mergeCell ref="B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51"/>
  <sheetViews>
    <sheetView showGridLines="0" workbookViewId="0">
      <pane ySplit="1" topLeftCell="A2" activePane="bottomLeft" state="frozen"/>
      <selection pane="bottomLeft" activeCell="A1" sqref="A1"/>
    </sheetView>
  </sheetViews>
  <sheetFormatPr baseColWidth="8" defaultRowHeight="15"/>
  <cols>
    <col width="9" customWidth="1" min="1" max="1"/>
    <col width="20" customWidth="1" min="2" max="2"/>
    <col width="16" customWidth="1" min="3" max="3"/>
    <col width="18" customWidth="1" min="4" max="4"/>
    <col width="11" customWidth="1" min="5" max="5"/>
    <col width="16" customWidth="1" min="6" max="6"/>
    <col width="18" customWidth="1" min="7" max="7"/>
    <col width="24" customWidth="1" min="8" max="8"/>
    <col width="14" customWidth="1" min="9" max="9"/>
    <col width="22" customWidth="1" min="10" max="10"/>
    <col width="13" customWidth="1" min="11" max="11"/>
    <col width="14" customWidth="1" min="12" max="12"/>
    <col width="18" customWidth="1" min="13" max="13"/>
    <col width="38" customWidth="1" min="14" max="14"/>
    <col width="46" customWidth="1" min="15" max="15"/>
    <col width="34" customWidth="1" min="16" max="16"/>
    <col width="24" customWidth="1" min="17" max="17"/>
    <col width="13" customWidth="1" min="18" max="18"/>
    <col width="18" customWidth="1" min="19" max="19"/>
    <col width="16" customWidth="1" min="20" max="20"/>
    <col width="16" customWidth="1" min="21" max="21"/>
    <col width="15" customWidth="1" min="22" max="22"/>
    <col width="20" customWidth="1" min="23" max="23"/>
    <col width="18" customWidth="1" min="24" max="24"/>
    <col width="20" customWidth="1" min="25" max="25"/>
    <col width="18" customWidth="1" min="26" max="26"/>
    <col width="23" customWidth="1" min="27" max="27"/>
    <col width="22" customWidth="1" min="28" max="28"/>
    <col width="35" customWidth="1" min="29" max="29"/>
    <col width="23" customWidth="1" min="30" max="30"/>
  </cols>
  <sheetData>
    <row r="1" ht="58" customHeight="1">
      <c r="A1" s="13" t="inlineStr">
        <is>
          <t>ID</t>
        </is>
      </c>
      <c r="B1" s="13" t="inlineStr">
        <is>
          <t>Date/time (WAT)</t>
        </is>
      </c>
      <c r="C1" s="13" t="inlineStr">
        <is>
          <t>Participant code</t>
        </is>
      </c>
      <c r="D1" s="13" t="inlineStr">
        <is>
          <t>Consent confirmed</t>
        </is>
      </c>
      <c r="E1" s="13" t="inlineStr">
        <is>
          <t>Scenario</t>
        </is>
      </c>
      <c r="F1" s="13" t="inlineStr">
        <is>
          <t>Language</t>
        </is>
      </c>
      <c r="G1" s="13" t="inlineStr">
        <is>
          <t>Setting/noise</t>
        </is>
      </c>
      <c r="H1" s="13" t="inlineStr">
        <is>
          <t>Device model + Android</t>
        </is>
      </c>
      <c r="I1" s="13" t="inlineStr">
        <is>
          <t>Network</t>
        </is>
      </c>
      <c r="J1" s="13" t="inlineStr">
        <is>
          <t>Expected product</t>
        </is>
      </c>
      <c r="K1" s="13" t="inlineStr">
        <is>
          <t>Expected qty</t>
        </is>
      </c>
      <c r="L1" s="13" t="inlineStr">
        <is>
          <t>Expected unit</t>
        </is>
      </c>
      <c r="M1" s="13" t="inlineStr">
        <is>
          <t>Expected paid (₦)</t>
        </is>
      </c>
      <c r="N1" s="13" t="inlineStr">
        <is>
          <t>Exact words spoken</t>
        </is>
      </c>
      <c r="O1" s="13" t="inlineStr">
        <is>
          <t>Exact ASR transcript / displayed error</t>
        </is>
      </c>
      <c r="P1" s="13" t="inlineStr">
        <is>
          <t>Model ID</t>
        </is>
      </c>
      <c r="Q1" s="13" t="inlineStr">
        <is>
          <t>Parsed product</t>
        </is>
      </c>
      <c r="R1" s="13" t="inlineStr">
        <is>
          <t>Parsed qty</t>
        </is>
      </c>
      <c r="S1" s="13" t="inlineStr">
        <is>
          <t>Parsed paid (₦)</t>
        </is>
      </c>
      <c r="T1" s="13" t="inlineStr">
        <is>
          <t>Product correct?</t>
        </is>
      </c>
      <c r="U1" s="13" t="inlineStr">
        <is>
          <t>Quantity correct?</t>
        </is>
      </c>
      <c r="V1" s="13" t="inlineStr">
        <is>
          <t>Amount correct?</t>
        </is>
      </c>
      <c r="W1" s="13" t="inlineStr">
        <is>
          <t>Transcript acceptable?</t>
        </is>
      </c>
      <c r="X1" s="13" t="inlineStr">
        <is>
          <t>Correction needed?</t>
        </is>
      </c>
      <c r="Y1" s="13" t="inlineStr">
        <is>
          <t>Recovery successful?</t>
        </is>
      </c>
      <c r="Z1" s="13" t="inlineStr">
        <is>
          <t>Latency (seconds)</t>
        </is>
      </c>
      <c r="AA1" s="13" t="inlineStr">
        <is>
          <t>Final outcome</t>
        </is>
      </c>
      <c r="AB1" s="13" t="inlineStr">
        <is>
          <t>Evidence reference</t>
        </is>
      </c>
      <c r="AC1" s="13" t="inlineStr">
        <is>
          <t>Notes</t>
        </is>
      </c>
      <c r="AD1" s="13" t="inlineStr">
        <is>
          <t>Intent correct before edit?</t>
        </is>
      </c>
    </row>
    <row r="2" ht="44" customHeight="1">
      <c r="A2" s="14" t="inlineStr">
        <is>
          <t>I001</t>
        </is>
      </c>
      <c r="B2" s="20" t="n">
        <v>46307.5459837963</v>
      </c>
      <c r="C2" s="14" t="inlineStr">
        <is>
          <t>P01</t>
        </is>
      </c>
      <c r="D2" s="15" t="inlineStr">
        <is>
          <t>Yes</t>
        </is>
      </c>
      <c r="E2" s="14" t="inlineStr">
        <is>
          <t>S01</t>
        </is>
      </c>
      <c r="F2" s="15" t="inlineStr">
        <is>
          <t>English</t>
        </is>
      </c>
      <c r="G2" s="15" t="inlineStr">
        <is>
          <t>Normal shop</t>
        </is>
      </c>
      <c r="H2" s="15" t="inlineStr">
        <is>
          <t>Motorola Moto G 5G / Android 13</t>
        </is>
      </c>
      <c r="I2" s="15" t="inlineStr">
        <is>
          <t>Mobile data</t>
        </is>
      </c>
      <c r="J2" s="15" t="inlineStr">
        <is>
          <t>Rice</t>
        </is>
      </c>
      <c r="K2" s="15" t="n">
        <v>1</v>
      </c>
      <c r="L2" s="15" t="inlineStr">
        <is>
          <t>bag</t>
        </is>
      </c>
      <c r="M2" s="15" t="n">
        <v>70000</v>
      </c>
      <c r="N2" s="15" t="inlineStr">
        <is>
          <t>Sold one bag of rice for seventy thousand naira</t>
        </is>
      </c>
      <c r="O2" s="21" t="inlineStr">
        <is>
          <t>Not captured in supplied client evidence</t>
        </is>
      </c>
      <c r="P2" s="15" t="inlineStr">
        <is>
          <t>NCAIR1/NigerianAccentedEnglish</t>
        </is>
      </c>
      <c r="Q2" s="15" t="n"/>
      <c r="R2" s="15" t="n"/>
      <c r="S2" s="15" t="n"/>
      <c r="T2" s="15" t="n"/>
      <c r="U2" s="15" t="n"/>
      <c r="V2" s="15" t="n"/>
      <c r="W2" s="15" t="n"/>
      <c r="X2" s="15" t="n"/>
      <c r="Y2" s="15" t="n"/>
      <c r="Z2" s="15" t="n"/>
      <c r="AA2" s="15" t="inlineStr">
        <is>
          <t>Server ASR response completed; client result not captured</t>
        </is>
      </c>
      <c r="AB2" s="15" t="inlineStr">
        <is>
          <t>R001 — AKE_Server_Request_Evidence_2026-10-12.csv</t>
        </is>
      </c>
      <c r="AC2" s="18" t="inlineStr">
        <is>
          <t>Server log verifies the request/status. Raw audio and response transcript were not retained. Participant, consent and session context are from the supplied worksheet screenshot.</t>
        </is>
      </c>
      <c r="AD2" s="15" t="n"/>
    </row>
    <row r="3" ht="44" customHeight="1">
      <c r="A3" s="14" t="inlineStr">
        <is>
          <t>I002</t>
        </is>
      </c>
      <c r="B3" s="20" t="n">
        <v>46307.54665509259</v>
      </c>
      <c r="C3" s="14" t="inlineStr">
        <is>
          <t>P01</t>
        </is>
      </c>
      <c r="D3" s="15" t="inlineStr">
        <is>
          <t>Yes</t>
        </is>
      </c>
      <c r="E3" s="14" t="inlineStr">
        <is>
          <t>S02</t>
        </is>
      </c>
      <c r="F3" s="15" t="inlineStr">
        <is>
          <t>English</t>
        </is>
      </c>
      <c r="G3" s="15" t="inlineStr">
        <is>
          <t>Normal shop</t>
        </is>
      </c>
      <c r="H3" s="15" t="inlineStr">
        <is>
          <t>Motorola Moto G 5G / Android 13</t>
        </is>
      </c>
      <c r="I3" s="15" t="inlineStr">
        <is>
          <t>Mobile data</t>
        </is>
      </c>
      <c r="J3" s="15" t="inlineStr">
        <is>
          <t>Indomie noodles</t>
        </is>
      </c>
      <c r="K3" s="15" t="n">
        <v>1</v>
      </c>
      <c r="L3" s="15" t="inlineStr">
        <is>
          <t>carton</t>
        </is>
      </c>
      <c r="M3" s="15" t="n">
        <v>10000</v>
      </c>
      <c r="N3" s="15" t="inlineStr">
        <is>
          <t>Indomie one carton ten thousand naira</t>
        </is>
      </c>
      <c r="O3" s="21" t="inlineStr">
        <is>
          <t>Not captured in supplied client evidence</t>
        </is>
      </c>
      <c r="P3" s="15" t="inlineStr">
        <is>
          <t>NCAIR1/NigerianAccentedEnglish</t>
        </is>
      </c>
      <c r="Q3" s="15" t="n"/>
      <c r="R3" s="15" t="n"/>
      <c r="S3" s="15" t="n"/>
      <c r="T3" s="15" t="n"/>
      <c r="U3" s="15" t="n"/>
      <c r="V3" s="15" t="n"/>
      <c r="W3" s="15" t="n"/>
      <c r="X3" s="15" t="n"/>
      <c r="Y3" s="15" t="n"/>
      <c r="Z3" s="15" t="n"/>
      <c r="AA3" s="15" t="inlineStr">
        <is>
          <t>Server ASR response completed; client result not captured</t>
        </is>
      </c>
      <c r="AB3" s="15" t="inlineStr">
        <is>
          <t>R002 — AKE_Server_Request_Evidence_2026-10-12.csv</t>
        </is>
      </c>
      <c r="AC3" s="21" t="inlineStr">
        <is>
          <t>Server log verifies the request/status. Raw audio and response transcript were not retained. Participant, consent and session context are from the supplied worksheet screenshot.</t>
        </is>
      </c>
      <c r="AD3" s="15" t="n"/>
    </row>
    <row r="4" ht="44" customHeight="1">
      <c r="A4" s="14" t="inlineStr">
        <is>
          <t>I003</t>
        </is>
      </c>
      <c r="B4" s="20" t="n">
        <v>46307.5471875</v>
      </c>
      <c r="C4" s="14" t="inlineStr">
        <is>
          <t>P01</t>
        </is>
      </c>
      <c r="D4" s="15" t="inlineStr">
        <is>
          <t>Yes</t>
        </is>
      </c>
      <c r="E4" s="14" t="inlineStr">
        <is>
          <t>S03</t>
        </is>
      </c>
      <c r="F4" s="15" t="inlineStr">
        <is>
          <t>English</t>
        </is>
      </c>
      <c r="G4" s="15" t="inlineStr">
        <is>
          <t>Normal shop</t>
        </is>
      </c>
      <c r="H4" s="15" t="inlineStr">
        <is>
          <t>Motorola Moto G 5G / Android 13</t>
        </is>
      </c>
      <c r="I4" s="15" t="inlineStr">
        <is>
          <t>Mobile data</t>
        </is>
      </c>
      <c r="J4" s="15" t="inlineStr">
        <is>
          <t>Tin tomatoes</t>
        </is>
      </c>
      <c r="K4" s="15" t="n">
        <v>1</v>
      </c>
      <c r="L4" s="15" t="inlineStr">
        <is>
          <t>carton</t>
        </is>
      </c>
      <c r="M4" s="15" t="n">
        <v>50000</v>
      </c>
      <c r="N4" s="15" t="inlineStr">
        <is>
          <t>Tin tomatoes one carton fifty thousand naira</t>
        </is>
      </c>
      <c r="O4" s="21" t="inlineStr">
        <is>
          <t>Not captured in supplied client evidence</t>
        </is>
      </c>
      <c r="P4" s="15" t="inlineStr">
        <is>
          <t>NCAIR1/NigerianAccentedEnglish</t>
        </is>
      </c>
      <c r="Q4" s="15" t="n"/>
      <c r="R4" s="15" t="n"/>
      <c r="S4" s="15" t="n"/>
      <c r="T4" s="15" t="n"/>
      <c r="U4" s="15" t="n"/>
      <c r="V4" s="15" t="n"/>
      <c r="W4" s="15" t="n"/>
      <c r="X4" s="15" t="n"/>
      <c r="Y4" s="15" t="n"/>
      <c r="Z4" s="15" t="n"/>
      <c r="AA4" s="15" t="inlineStr">
        <is>
          <t>Server ASR response completed; client result not captured</t>
        </is>
      </c>
      <c r="AB4" s="15" t="inlineStr">
        <is>
          <t>R003 — AKE_Server_Request_Evidence_2026-10-12.csv</t>
        </is>
      </c>
      <c r="AC4" s="21" t="inlineStr">
        <is>
          <t>Server log verifies the request/status. Raw audio and response transcript were not retained. Participant, consent and session context are from the supplied worksheet screenshot.</t>
        </is>
      </c>
      <c r="AD4" s="15" t="n"/>
    </row>
    <row r="5" ht="44" customHeight="1">
      <c r="A5" s="14" t="inlineStr">
        <is>
          <t>I004</t>
        </is>
      </c>
      <c r="B5" s="20" t="n">
        <v>46307.54848379629</v>
      </c>
      <c r="C5" s="14" t="inlineStr">
        <is>
          <t>P01</t>
        </is>
      </c>
      <c r="D5" s="15" t="inlineStr">
        <is>
          <t>Yes</t>
        </is>
      </c>
      <c r="E5" s="14" t="inlineStr">
        <is>
          <t>S04</t>
        </is>
      </c>
      <c r="F5" s="15" t="inlineStr">
        <is>
          <t>English</t>
        </is>
      </c>
      <c r="G5" s="15" t="inlineStr">
        <is>
          <t>Normal shop</t>
        </is>
      </c>
      <c r="H5" s="15" t="inlineStr">
        <is>
          <t>Motorola Moto G 5G / Android 13</t>
        </is>
      </c>
      <c r="I5" s="15" t="inlineStr">
        <is>
          <t>Mobile data</t>
        </is>
      </c>
      <c r="J5" s="15" t="n"/>
      <c r="K5" s="15" t="n"/>
      <c r="L5" s="15" t="n"/>
      <c r="M5" s="15" t="n"/>
      <c r="N5" s="15" t="n"/>
      <c r="O5" s="21" t="inlineStr">
        <is>
          <t>Not captured in supplied client evidence</t>
        </is>
      </c>
      <c r="P5" s="15" t="inlineStr">
        <is>
          <t>NCAIR1/NigerianAccentedEnglish</t>
        </is>
      </c>
      <c r="Q5" s="15" t="n"/>
      <c r="R5" s="15" t="n"/>
      <c r="S5" s="15" t="n"/>
      <c r="T5" s="15" t="n"/>
      <c r="U5" s="15" t="n"/>
      <c r="V5" s="15" t="n"/>
      <c r="W5" s="15" t="n"/>
      <c r="X5" s="15" t="n"/>
      <c r="Y5" s="15" t="n"/>
      <c r="Z5" s="15" t="n"/>
      <c r="AA5" s="15" t="inlineStr">
        <is>
          <t>Server ASR response completed; client result not captured</t>
        </is>
      </c>
      <c r="AB5" s="15" t="inlineStr">
        <is>
          <t>R004 — AKE_Server_Request_Evidence_2026-10-12.csv</t>
        </is>
      </c>
      <c r="AC5" s="21" t="inlineStr">
        <is>
          <t>Server log verifies the request/status. Raw audio and response transcript were not retained. Participant, consent and session context are from the supplied worksheet screenshot.</t>
        </is>
      </c>
      <c r="AD5" s="15" t="n"/>
    </row>
    <row r="6" ht="44" customHeight="1">
      <c r="A6" s="14" t="inlineStr">
        <is>
          <t>I005</t>
        </is>
      </c>
      <c r="B6" s="20" t="n">
        <v>46307.54902777778</v>
      </c>
      <c r="C6" s="14" t="inlineStr">
        <is>
          <t>P01</t>
        </is>
      </c>
      <c r="D6" s="15" t="inlineStr">
        <is>
          <t>Yes</t>
        </is>
      </c>
      <c r="E6" s="14" t="inlineStr">
        <is>
          <t>S05</t>
        </is>
      </c>
      <c r="F6" s="15" t="inlineStr">
        <is>
          <t>English</t>
        </is>
      </c>
      <c r="G6" s="15" t="inlineStr">
        <is>
          <t>Normal shop</t>
        </is>
      </c>
      <c r="H6" s="15" t="inlineStr">
        <is>
          <t>Motorola Moto G 5G / Android 13</t>
        </is>
      </c>
      <c r="I6" s="15" t="inlineStr">
        <is>
          <t>Mobile data</t>
        </is>
      </c>
      <c r="J6" s="15" t="n"/>
      <c r="K6" s="15" t="n"/>
      <c r="L6" s="15" t="n"/>
      <c r="M6" s="15" t="n"/>
      <c r="N6" s="15" t="n"/>
      <c r="O6" s="21" t="inlineStr">
        <is>
          <t>Not captured in supplied client evidence</t>
        </is>
      </c>
      <c r="P6" s="15" t="inlineStr">
        <is>
          <t>NCAIR1/NigerianAccentedEnglish</t>
        </is>
      </c>
      <c r="Q6" s="15" t="n"/>
      <c r="R6" s="15" t="n"/>
      <c r="S6" s="15" t="n"/>
      <c r="T6" s="15" t="n"/>
      <c r="U6" s="15" t="n"/>
      <c r="V6" s="15" t="n"/>
      <c r="W6" s="15" t="n"/>
      <c r="X6" s="15" t="n"/>
      <c r="Y6" s="15" t="n"/>
      <c r="Z6" s="15" t="n"/>
      <c r="AA6" s="15" t="inlineStr">
        <is>
          <t>Server ASR response completed; client result not captured</t>
        </is>
      </c>
      <c r="AB6" s="15" t="inlineStr">
        <is>
          <t>R005 — AKE_Server_Request_Evidence_2026-10-12.csv</t>
        </is>
      </c>
      <c r="AC6" s="21" t="inlineStr">
        <is>
          <t>Server log verifies the request/status. Raw audio and response transcript were not retained. Participant, consent and session context are from the supplied worksheet screenshot.</t>
        </is>
      </c>
      <c r="AD6" s="15" t="n"/>
    </row>
    <row r="7" ht="44" customHeight="1">
      <c r="A7" s="14" t="inlineStr">
        <is>
          <t>I006</t>
        </is>
      </c>
      <c r="B7" s="20" t="n">
        <v>46307.54981481482</v>
      </c>
      <c r="C7" s="14" t="inlineStr">
        <is>
          <t>P02</t>
        </is>
      </c>
      <c r="D7" s="15" t="inlineStr">
        <is>
          <t>Yes</t>
        </is>
      </c>
      <c r="E7" s="14" t="inlineStr">
        <is>
          <t>S01</t>
        </is>
      </c>
      <c r="F7" s="15" t="inlineStr">
        <is>
          <t>Yoruba</t>
        </is>
      </c>
      <c r="G7" s="15" t="inlineStr">
        <is>
          <t>Normal shop</t>
        </is>
      </c>
      <c r="H7" s="15" t="inlineStr">
        <is>
          <t>Motorola Moto G 5G / Android 13</t>
        </is>
      </c>
      <c r="I7" s="15" t="inlineStr">
        <is>
          <t>Mobile data</t>
        </is>
      </c>
      <c r="J7" s="15" t="inlineStr">
        <is>
          <t>Rice</t>
        </is>
      </c>
      <c r="K7" s="15" t="n">
        <v>1</v>
      </c>
      <c r="L7" s="15" t="inlineStr">
        <is>
          <t>bag</t>
        </is>
      </c>
      <c r="M7" s="15" t="n">
        <v>70000</v>
      </c>
      <c r="N7" s="15" t="inlineStr">
        <is>
          <t>Sold one bag of rice for seventy thousand naira</t>
        </is>
      </c>
      <c r="O7" s="21" t="inlineStr">
        <is>
          <t>Not captured in supplied client evidence</t>
        </is>
      </c>
      <c r="P7" s="15" t="inlineStr">
        <is>
          <t>NCAIR1/Yoruba-ASR</t>
        </is>
      </c>
      <c r="Q7" s="15" t="n"/>
      <c r="R7" s="15" t="n"/>
      <c r="S7" s="15" t="n"/>
      <c r="T7" s="15" t="n"/>
      <c r="U7" s="15" t="n"/>
      <c r="V7" s="15" t="n"/>
      <c r="W7" s="15" t="n"/>
      <c r="X7" s="15" t="n"/>
      <c r="Y7" s="15" t="n"/>
      <c r="Z7" s="15" t="n"/>
      <c r="AA7" s="15" t="inlineStr">
        <is>
          <t>Server ASR response completed; client result not captured</t>
        </is>
      </c>
      <c r="AB7" s="15" t="inlineStr">
        <is>
          <t>R006 — AKE_Server_Request_Evidence_2026-10-12.csv</t>
        </is>
      </c>
      <c r="AC7" s="21" t="inlineStr">
        <is>
          <t>Server log verifies the request/status. Raw audio and response transcript were not retained. Participant, consent and session context are from the supplied worksheet screenshot.</t>
        </is>
      </c>
      <c r="AD7" s="15" t="n"/>
    </row>
    <row r="8" ht="44" customHeight="1">
      <c r="A8" s="14" t="inlineStr">
        <is>
          <t>I007</t>
        </is>
      </c>
      <c r="B8" s="20" t="n">
        <v>46307.55082175926</v>
      </c>
      <c r="C8" s="14" t="inlineStr">
        <is>
          <t>P02</t>
        </is>
      </c>
      <c r="D8" s="15" t="inlineStr">
        <is>
          <t>Yes</t>
        </is>
      </c>
      <c r="E8" s="14" t="inlineStr">
        <is>
          <t>S02</t>
        </is>
      </c>
      <c r="F8" s="15" t="inlineStr">
        <is>
          <t>Yoruba</t>
        </is>
      </c>
      <c r="G8" s="15" t="inlineStr">
        <is>
          <t>Normal shop</t>
        </is>
      </c>
      <c r="H8" s="15" t="inlineStr">
        <is>
          <t>Motorola Moto G 5G / Android 13</t>
        </is>
      </c>
      <c r="I8" s="15" t="inlineStr">
        <is>
          <t>Mobile data</t>
        </is>
      </c>
      <c r="J8" s="15" t="inlineStr">
        <is>
          <t>Indomie noodles</t>
        </is>
      </c>
      <c r="K8" s="15" t="n">
        <v>1</v>
      </c>
      <c r="L8" s="15" t="inlineStr">
        <is>
          <t>carton</t>
        </is>
      </c>
      <c r="M8" s="15" t="n">
        <v>10000</v>
      </c>
      <c r="N8" s="15" t="inlineStr">
        <is>
          <t>Indomie one carton ten thousand naira</t>
        </is>
      </c>
      <c r="O8" s="21" t="inlineStr">
        <is>
          <t>Not captured in supplied client evidence</t>
        </is>
      </c>
      <c r="P8" s="15" t="inlineStr">
        <is>
          <t>NCAIR1/Yoruba-ASR</t>
        </is>
      </c>
      <c r="Q8" s="15" t="n"/>
      <c r="R8" s="15" t="n"/>
      <c r="S8" s="15" t="n"/>
      <c r="T8" s="15" t="n"/>
      <c r="U8" s="15" t="n"/>
      <c r="V8" s="15" t="n"/>
      <c r="W8" s="15" t="n"/>
      <c r="X8" s="15" t="n"/>
      <c r="Y8" s="15" t="n"/>
      <c r="Z8" s="15" t="n"/>
      <c r="AA8" s="15" t="inlineStr">
        <is>
          <t>Server ASR response completed; client result not captured</t>
        </is>
      </c>
      <c r="AB8" s="15" t="inlineStr">
        <is>
          <t>R007 — AKE_Server_Request_Evidence_2026-10-12.csv</t>
        </is>
      </c>
      <c r="AC8" s="21" t="inlineStr">
        <is>
          <t>Server log verifies the request/status. Raw audio and response transcript were not retained. Participant, consent and session context are from the supplied worksheet screenshot.</t>
        </is>
      </c>
      <c r="AD8" s="15" t="n"/>
    </row>
    <row r="9" ht="44" customHeight="1">
      <c r="A9" s="14" t="inlineStr">
        <is>
          <t>I008</t>
        </is>
      </c>
      <c r="B9" s="20" t="n">
        <v>46307.55111111111</v>
      </c>
      <c r="C9" s="14" t="inlineStr">
        <is>
          <t>P02</t>
        </is>
      </c>
      <c r="D9" s="15" t="inlineStr">
        <is>
          <t>Yes</t>
        </is>
      </c>
      <c r="E9" s="14" t="inlineStr">
        <is>
          <t>S03</t>
        </is>
      </c>
      <c r="F9" s="15" t="inlineStr">
        <is>
          <t>Yoruba</t>
        </is>
      </c>
      <c r="G9" s="15" t="inlineStr">
        <is>
          <t>Normal shop</t>
        </is>
      </c>
      <c r="H9" s="15" t="inlineStr">
        <is>
          <t>Motorola Moto G 5G / Android 13</t>
        </is>
      </c>
      <c r="I9" s="15" t="inlineStr">
        <is>
          <t>Mobile data</t>
        </is>
      </c>
      <c r="J9" s="15" t="inlineStr">
        <is>
          <t>Tin tomatoes</t>
        </is>
      </c>
      <c r="K9" s="15" t="n">
        <v>1</v>
      </c>
      <c r="L9" s="15" t="inlineStr">
        <is>
          <t>carton</t>
        </is>
      </c>
      <c r="M9" s="15" t="n">
        <v>50000</v>
      </c>
      <c r="N9" s="15" t="inlineStr">
        <is>
          <t>Tin tomatoes one carton fifty thousand naira</t>
        </is>
      </c>
      <c r="O9" s="21" t="inlineStr">
        <is>
          <t>Not captured in supplied client evidence</t>
        </is>
      </c>
      <c r="P9" s="15" t="inlineStr">
        <is>
          <t>NCAIR1/Yoruba-ASR</t>
        </is>
      </c>
      <c r="Q9" s="15" t="n"/>
      <c r="R9" s="15" t="n"/>
      <c r="S9" s="15" t="n"/>
      <c r="T9" s="15" t="n"/>
      <c r="U9" s="15" t="n"/>
      <c r="V9" s="15" t="n"/>
      <c r="W9" s="15" t="n"/>
      <c r="X9" s="15" t="n"/>
      <c r="Y9" s="15" t="n"/>
      <c r="Z9" s="15" t="n"/>
      <c r="AA9" s="15" t="inlineStr">
        <is>
          <t>Server ASR response completed; client result not captured</t>
        </is>
      </c>
      <c r="AB9" s="15" t="inlineStr">
        <is>
          <t>R008 — AKE_Server_Request_Evidence_2026-10-12.csv</t>
        </is>
      </c>
      <c r="AC9" s="21" t="inlineStr">
        <is>
          <t>Server log verifies the request/status. Raw audio and response transcript were not retained. Participant, consent and session context are from the supplied worksheet screenshot.</t>
        </is>
      </c>
      <c r="AD9" s="15" t="n"/>
    </row>
    <row r="10" ht="44" customHeight="1">
      <c r="A10" s="14" t="inlineStr">
        <is>
          <t>I009</t>
        </is>
      </c>
      <c r="B10" s="20" t="n">
        <v>46307.55229166667</v>
      </c>
      <c r="C10" s="14" t="inlineStr">
        <is>
          <t>P02</t>
        </is>
      </c>
      <c r="D10" s="15" t="inlineStr">
        <is>
          <t>Yes</t>
        </is>
      </c>
      <c r="E10" s="14" t="inlineStr">
        <is>
          <t>S04</t>
        </is>
      </c>
      <c r="F10" s="15" t="inlineStr">
        <is>
          <t>Yoruba</t>
        </is>
      </c>
      <c r="G10" s="15" t="inlineStr">
        <is>
          <t>Normal shop</t>
        </is>
      </c>
      <c r="H10" s="15" t="inlineStr">
        <is>
          <t>Motorola Moto G 5G / Android 13</t>
        </is>
      </c>
      <c r="I10" s="15" t="inlineStr">
        <is>
          <t>Mobile data</t>
        </is>
      </c>
      <c r="J10" s="15" t="n"/>
      <c r="K10" s="15" t="n"/>
      <c r="L10" s="15" t="n"/>
      <c r="M10" s="15" t="n"/>
      <c r="N10" s="15" t="n"/>
      <c r="O10" s="21" t="inlineStr">
        <is>
          <t>Not captured in supplied client evidence</t>
        </is>
      </c>
      <c r="P10" s="15" t="inlineStr">
        <is>
          <t>NCAIR1/Yoruba-ASR</t>
        </is>
      </c>
      <c r="Q10" s="15" t="n"/>
      <c r="R10" s="15" t="n"/>
      <c r="S10" s="15" t="n"/>
      <c r="T10" s="15" t="n"/>
      <c r="U10" s="15" t="n"/>
      <c r="V10" s="15" t="n"/>
      <c r="W10" s="15" t="n"/>
      <c r="X10" s="15" t="n"/>
      <c r="Y10" s="15" t="n"/>
      <c r="Z10" s="15" t="n"/>
      <c r="AA10" s="15" t="inlineStr">
        <is>
          <t>Server ASR response completed; client result not captured</t>
        </is>
      </c>
      <c r="AB10" s="15" t="inlineStr">
        <is>
          <t>R009 — AKE_Server_Request_Evidence_2026-10-12.csv</t>
        </is>
      </c>
      <c r="AC10" s="21" t="inlineStr">
        <is>
          <t>Server log verifies the request/status. Raw audio and response transcript were not retained. Participant, consent and session context are from the supplied worksheet screenshot.</t>
        </is>
      </c>
      <c r="AD10" s="15" t="n"/>
    </row>
    <row r="11" ht="44" customHeight="1">
      <c r="A11" s="14" t="inlineStr">
        <is>
          <t>I010</t>
        </is>
      </c>
      <c r="B11" s="20" t="n">
        <v>46307.56086805555</v>
      </c>
      <c r="C11" s="14" t="inlineStr">
        <is>
          <t>P02</t>
        </is>
      </c>
      <c r="D11" s="15" t="inlineStr">
        <is>
          <t>Yes</t>
        </is>
      </c>
      <c r="E11" s="14" t="inlineStr">
        <is>
          <t>S05</t>
        </is>
      </c>
      <c r="F11" s="15" t="inlineStr">
        <is>
          <t>English</t>
        </is>
      </c>
      <c r="G11" s="15" t="inlineStr">
        <is>
          <t>Normal shop</t>
        </is>
      </c>
      <c r="H11" s="15" t="inlineStr">
        <is>
          <t>Motorola Moto G 5G / Android 13</t>
        </is>
      </c>
      <c r="I11" s="15" t="inlineStr">
        <is>
          <t>Mobile data</t>
        </is>
      </c>
      <c r="J11" s="15" t="inlineStr">
        <is>
          <t>Rice</t>
        </is>
      </c>
      <c r="K11" s="15" t="n">
        <v>2</v>
      </c>
      <c r="L11" s="15" t="inlineStr">
        <is>
          <t>bag</t>
        </is>
      </c>
      <c r="M11" s="15" t="n">
        <v>10000</v>
      </c>
      <c r="N11" s="15" t="inlineStr">
        <is>
          <t>Mo ta apo iresi meji, o san ẹgbẹrun mẹwa</t>
        </is>
      </c>
      <c r="O11" s="15" t="inlineStr">
        <is>
          <t>sounds like a great way to donate $20,000 for a pack of rice!</t>
        </is>
      </c>
      <c r="P11" s="15" t="inlineStr">
        <is>
          <t>NCAIR1/NigerianAccentedEnglish</t>
        </is>
      </c>
      <c r="Q11" s="15" t="inlineStr">
        <is>
          <t>Rice</t>
        </is>
      </c>
      <c r="R11" s="15" t="n"/>
      <c r="S11" s="15" t="n">
        <v>20000</v>
      </c>
      <c r="T11" s="15" t="inlineStr">
        <is>
          <t>Yes</t>
        </is>
      </c>
      <c r="U11" s="15" t="inlineStr">
        <is>
          <t>No</t>
        </is>
      </c>
      <c r="V11" s="15" t="inlineStr">
        <is>
          <t>No</t>
        </is>
      </c>
      <c r="W11" s="15" t="inlineStr">
        <is>
          <t>No</t>
        </is>
      </c>
      <c r="X11" s="15" t="inlineStr">
        <is>
          <t>Yes</t>
        </is>
      </c>
      <c r="Y11" s="15" t="n"/>
      <c r="Z11" s="15" t="n"/>
      <c r="AA11" s="22" t="inlineStr">
        <is>
          <t>Needs correction; save not evidenced</t>
        </is>
      </c>
      <c r="AB11" s="15" t="inlineStr">
        <is>
          <t>screen-20261012-133517.mp4 + R010</t>
        </is>
      </c>
      <c r="AC11" s="15" t="inlineStr">
        <is>
          <t>Video displays the test prompt and the resulting client review. Product was found, but quantity/payment were wrong.</t>
        </is>
      </c>
      <c r="AD11" s="15" t="inlineStr">
        <is>
          <t>No</t>
        </is>
      </c>
    </row>
    <row r="12" ht="44" customHeight="1">
      <c r="A12" s="14" t="inlineStr">
        <is>
          <t>I011</t>
        </is>
      </c>
      <c r="B12" s="20" t="n">
        <v>46307.56143518518</v>
      </c>
      <c r="C12" s="14" t="inlineStr">
        <is>
          <t>P03</t>
        </is>
      </c>
      <c r="D12" s="15" t="inlineStr">
        <is>
          <t>Yes</t>
        </is>
      </c>
      <c r="E12" s="14" t="inlineStr">
        <is>
          <t>S01</t>
        </is>
      </c>
      <c r="F12" s="15" t="inlineStr">
        <is>
          <t>English</t>
        </is>
      </c>
      <c r="G12" s="15" t="inlineStr">
        <is>
          <t>Normal shop</t>
        </is>
      </c>
      <c r="H12" s="15" t="inlineStr">
        <is>
          <t>Motorola Moto G 5G / Android 13</t>
        </is>
      </c>
      <c r="I12" s="15" t="inlineStr">
        <is>
          <t>Mobile data</t>
        </is>
      </c>
      <c r="J12" s="15" t="inlineStr">
        <is>
          <t>Rice</t>
        </is>
      </c>
      <c r="K12" s="15" t="n">
        <v>1</v>
      </c>
      <c r="L12" s="15" t="inlineStr">
        <is>
          <t>bag</t>
        </is>
      </c>
      <c r="M12" s="15" t="n">
        <v>70000</v>
      </c>
      <c r="N12" s="15" t="inlineStr">
        <is>
          <t>Sold one bag of rice for seventy thousand naira</t>
        </is>
      </c>
      <c r="O12" s="21" t="inlineStr">
        <is>
          <t>Not captured in supplied client evidence</t>
        </is>
      </c>
      <c r="P12" s="15" t="inlineStr">
        <is>
          <t>NCAIR1/NigerianAccentedEnglish</t>
        </is>
      </c>
      <c r="Q12" s="15" t="n"/>
      <c r="R12" s="15" t="n"/>
      <c r="S12" s="15" t="n"/>
      <c r="T12" s="15" t="n"/>
      <c r="U12" s="15" t="n"/>
      <c r="V12" s="15" t="n"/>
      <c r="W12" s="15" t="n"/>
      <c r="X12" s="15" t="n"/>
      <c r="Y12" s="15" t="n"/>
      <c r="Z12" s="15" t="n"/>
      <c r="AA12" s="15" t="inlineStr">
        <is>
          <t>Server ASR response completed; client result not captured</t>
        </is>
      </c>
      <c r="AB12" s="15" t="inlineStr">
        <is>
          <t>R011 — AKE_Server_Request_Evidence_2026-10-12.csv</t>
        </is>
      </c>
      <c r="AC12" s="21" t="inlineStr">
        <is>
          <t>Server log verifies the request/status. Raw audio and response transcript were not retained. Participant, consent and session context are from the supplied worksheet screenshot.</t>
        </is>
      </c>
      <c r="AD12" s="15" t="n"/>
    </row>
    <row r="13" ht="44" customHeight="1">
      <c r="A13" s="14" t="inlineStr">
        <is>
          <t>I012</t>
        </is>
      </c>
      <c r="B13" s="20" t="n">
        <v>46307.5619212963</v>
      </c>
      <c r="C13" s="14" t="inlineStr">
        <is>
          <t>P03</t>
        </is>
      </c>
      <c r="D13" s="15" t="inlineStr">
        <is>
          <t>Yes</t>
        </is>
      </c>
      <c r="E13" s="14" t="inlineStr">
        <is>
          <t>S02</t>
        </is>
      </c>
      <c r="F13" s="15" t="inlineStr">
        <is>
          <t>English</t>
        </is>
      </c>
      <c r="G13" s="15" t="inlineStr">
        <is>
          <t>Normal shop</t>
        </is>
      </c>
      <c r="H13" s="15" t="inlineStr">
        <is>
          <t>Motorola Moto G 5G / Android 13</t>
        </is>
      </c>
      <c r="I13" s="15" t="inlineStr">
        <is>
          <t>Mobile data</t>
        </is>
      </c>
      <c r="J13" s="15" t="inlineStr">
        <is>
          <t>Indomie noodles</t>
        </is>
      </c>
      <c r="K13" s="15" t="n">
        <v>1</v>
      </c>
      <c r="L13" s="15" t="inlineStr">
        <is>
          <t>carton</t>
        </is>
      </c>
      <c r="M13" s="15" t="n">
        <v>10000</v>
      </c>
      <c r="N13" s="15" t="inlineStr">
        <is>
          <t>Indomie one carton ten thousand naira</t>
        </is>
      </c>
      <c r="O13" s="21" t="inlineStr">
        <is>
          <t>Not captured in supplied client evidence</t>
        </is>
      </c>
      <c r="P13" s="15" t="inlineStr">
        <is>
          <t>NCAIR1/NigerianAccentedEnglish</t>
        </is>
      </c>
      <c r="Q13" s="15" t="n"/>
      <c r="R13" s="15" t="n"/>
      <c r="S13" s="15" t="n"/>
      <c r="T13" s="15" t="n"/>
      <c r="U13" s="15" t="n"/>
      <c r="V13" s="15" t="n"/>
      <c r="W13" s="15" t="n"/>
      <c r="X13" s="15" t="n"/>
      <c r="Y13" s="15" t="n"/>
      <c r="Z13" s="15" t="n"/>
      <c r="AA13" s="15" t="inlineStr">
        <is>
          <t>Server ASR response completed; client result not captured</t>
        </is>
      </c>
      <c r="AB13" s="15" t="inlineStr">
        <is>
          <t>R012 — AKE_Server_Request_Evidence_2026-10-12.csv</t>
        </is>
      </c>
      <c r="AC13" s="21" t="inlineStr">
        <is>
          <t>Server log verifies the request/status. Raw audio and response transcript were not retained. Participant, consent and session context are from the supplied worksheet screenshot.</t>
        </is>
      </c>
      <c r="AD13" s="15" t="n"/>
    </row>
    <row r="14" ht="44" customHeight="1">
      <c r="A14" s="14" t="inlineStr">
        <is>
          <t>I013</t>
        </is>
      </c>
      <c r="B14" s="20" t="n">
        <v>46307.56260416667</v>
      </c>
      <c r="C14" s="14" t="inlineStr">
        <is>
          <t>P03</t>
        </is>
      </c>
      <c r="D14" s="15" t="inlineStr">
        <is>
          <t>Yes</t>
        </is>
      </c>
      <c r="E14" s="14" t="inlineStr">
        <is>
          <t>S03</t>
        </is>
      </c>
      <c r="F14" s="15" t="inlineStr">
        <is>
          <t>English</t>
        </is>
      </c>
      <c r="G14" s="15" t="inlineStr">
        <is>
          <t>Normal shop</t>
        </is>
      </c>
      <c r="H14" s="15" t="inlineStr">
        <is>
          <t>Motorola Moto G 5G / Android 13</t>
        </is>
      </c>
      <c r="I14" s="15" t="inlineStr">
        <is>
          <t>Mobile data</t>
        </is>
      </c>
      <c r="J14" s="15" t="inlineStr">
        <is>
          <t>Tin tomatoes</t>
        </is>
      </c>
      <c r="K14" s="15" t="n">
        <v>1</v>
      </c>
      <c r="L14" s="15" t="inlineStr">
        <is>
          <t>carton</t>
        </is>
      </c>
      <c r="M14" s="15" t="n">
        <v>50000</v>
      </c>
      <c r="N14" s="15" t="inlineStr">
        <is>
          <t>Tin tomatoes one carton fifty thousand naira</t>
        </is>
      </c>
      <c r="O14" s="21" t="inlineStr">
        <is>
          <t>Not captured in supplied client evidence</t>
        </is>
      </c>
      <c r="P14" s="15" t="inlineStr">
        <is>
          <t>NCAIR1/NigerianAccentedEnglish</t>
        </is>
      </c>
      <c r="Q14" s="15" t="n"/>
      <c r="R14" s="15" t="n"/>
      <c r="S14" s="15" t="n"/>
      <c r="T14" s="15" t="n"/>
      <c r="U14" s="15" t="n"/>
      <c r="V14" s="15" t="n"/>
      <c r="W14" s="15" t="n"/>
      <c r="X14" s="15" t="n"/>
      <c r="Y14" s="15" t="n"/>
      <c r="Z14" s="15" t="n"/>
      <c r="AA14" s="15" t="inlineStr">
        <is>
          <t>Server ASR response completed; client result not captured</t>
        </is>
      </c>
      <c r="AB14" s="15" t="inlineStr">
        <is>
          <t>R013 — AKE_Server_Request_Evidence_2026-10-12.csv</t>
        </is>
      </c>
      <c r="AC14" s="21" t="inlineStr">
        <is>
          <t>Server log verifies the request/status. Raw audio and response transcript were not retained. Participant, consent and session context are from the supplied worksheet screenshot.</t>
        </is>
      </c>
      <c r="AD14" s="15" t="n"/>
    </row>
    <row r="15" ht="44" customHeight="1">
      <c r="A15" s="14" t="inlineStr">
        <is>
          <t>I014</t>
        </is>
      </c>
      <c r="B15" s="20" t="n">
        <v>46307.56332175926</v>
      </c>
      <c r="C15" s="14" t="inlineStr">
        <is>
          <t>P03</t>
        </is>
      </c>
      <c r="D15" s="15" t="inlineStr">
        <is>
          <t>Yes</t>
        </is>
      </c>
      <c r="E15" s="14" t="inlineStr">
        <is>
          <t>S04</t>
        </is>
      </c>
      <c r="F15" s="15" t="inlineStr">
        <is>
          <t>English</t>
        </is>
      </c>
      <c r="G15" s="15" t="inlineStr">
        <is>
          <t>Normal shop</t>
        </is>
      </c>
      <c r="H15" s="15" t="inlineStr">
        <is>
          <t>Motorola Moto G 5G / Android 13</t>
        </is>
      </c>
      <c r="I15" s="15" t="inlineStr">
        <is>
          <t>Mobile data</t>
        </is>
      </c>
      <c r="J15" s="15" t="n"/>
      <c r="K15" s="15" t="n"/>
      <c r="L15" s="15" t="n"/>
      <c r="M15" s="15" t="n"/>
      <c r="N15" s="15" t="n"/>
      <c r="O15" s="21" t="inlineStr">
        <is>
          <t>Not captured in supplied client evidence</t>
        </is>
      </c>
      <c r="P15" s="15" t="inlineStr">
        <is>
          <t>NCAIR1/NigerianAccentedEnglish</t>
        </is>
      </c>
      <c r="Q15" s="15" t="n"/>
      <c r="R15" s="15" t="n"/>
      <c r="S15" s="15" t="n"/>
      <c r="T15" s="15" t="n"/>
      <c r="U15" s="15" t="n"/>
      <c r="V15" s="15" t="n"/>
      <c r="W15" s="15" t="n"/>
      <c r="X15" s="15" t="n"/>
      <c r="Y15" s="15" t="n"/>
      <c r="Z15" s="15" t="n"/>
      <c r="AA15" s="15" t="inlineStr">
        <is>
          <t>Server ASR response completed; client result not captured</t>
        </is>
      </c>
      <c r="AB15" s="15" t="inlineStr">
        <is>
          <t>R014 — AKE_Server_Request_Evidence_2026-10-12.csv</t>
        </is>
      </c>
      <c r="AC15" s="21" t="inlineStr">
        <is>
          <t>Server log verifies the request/status. Raw audio and response transcript were not retained. Participant, consent and session context are from the supplied worksheet screenshot.</t>
        </is>
      </c>
      <c r="AD15" s="15" t="n"/>
    </row>
    <row r="16" ht="44" customHeight="1">
      <c r="A16" s="14" t="inlineStr">
        <is>
          <t>I015</t>
        </is>
      </c>
      <c r="B16" s="20" t="n">
        <v>46307.57651620371</v>
      </c>
      <c r="C16" s="14" t="inlineStr">
        <is>
          <t>P03</t>
        </is>
      </c>
      <c r="D16" s="15" t="inlineStr">
        <is>
          <t>Yes</t>
        </is>
      </c>
      <c r="E16" s="14" t="inlineStr">
        <is>
          <t>S05</t>
        </is>
      </c>
      <c r="F16" s="15" t="inlineStr">
        <is>
          <t>Igbo</t>
        </is>
      </c>
      <c r="G16" s="15" t="inlineStr">
        <is>
          <t>Normal shop</t>
        </is>
      </c>
      <c r="H16" s="15" t="inlineStr">
        <is>
          <t>Motorola Moto G 5G / Android 13</t>
        </is>
      </c>
      <c r="I16" s="15" t="inlineStr">
        <is>
          <t>Mobile data</t>
        </is>
      </c>
      <c r="J16" s="15" t="n"/>
      <c r="K16" s="15" t="n"/>
      <c r="L16" s="15" t="n"/>
      <c r="M16" s="15" t="n"/>
      <c r="N16" s="15" t="n"/>
      <c r="O16" s="21" t="inlineStr">
        <is>
          <t>Not captured in supplied client evidence</t>
        </is>
      </c>
      <c r="P16" s="15" t="inlineStr">
        <is>
          <t>NCAIR1/Igbo-ASR</t>
        </is>
      </c>
      <c r="Q16" s="15" t="n"/>
      <c r="R16" s="15" t="n"/>
      <c r="S16" s="15" t="n"/>
      <c r="T16" s="15" t="n"/>
      <c r="U16" s="15" t="n"/>
      <c r="V16" s="15" t="n"/>
      <c r="W16" s="15" t="n"/>
      <c r="X16" s="15" t="n"/>
      <c r="Y16" s="15" t="n"/>
      <c r="Z16" s="15" t="n"/>
      <c r="AA16" s="15" t="inlineStr">
        <is>
          <t>Server ASR response completed; client result not captured</t>
        </is>
      </c>
      <c r="AB16" s="15" t="inlineStr">
        <is>
          <t>R015 — AKE_Server_Request_Evidence_2026-10-12.csv</t>
        </is>
      </c>
      <c r="AC16" s="21" t="inlineStr">
        <is>
          <t>Server log verifies the request/status. Raw audio and response transcript were not retained. Participant, consent and session context are from the supplied worksheet screenshot.</t>
        </is>
      </c>
      <c r="AD16" s="15" t="n"/>
    </row>
    <row r="17" ht="44" customHeight="1">
      <c r="A17" s="14" t="inlineStr">
        <is>
          <t>I016</t>
        </is>
      </c>
      <c r="B17" s="20" t="n">
        <v>46307.57767361111</v>
      </c>
      <c r="C17" s="14" t="inlineStr">
        <is>
          <t>P04</t>
        </is>
      </c>
      <c r="D17" s="15" t="inlineStr">
        <is>
          <t>Yes</t>
        </is>
      </c>
      <c r="E17" s="14" t="inlineStr">
        <is>
          <t>S01</t>
        </is>
      </c>
      <c r="F17" s="15" t="inlineStr">
        <is>
          <t>Igbo</t>
        </is>
      </c>
      <c r="G17" s="15" t="inlineStr">
        <is>
          <t>Normal shop</t>
        </is>
      </c>
      <c r="H17" s="15" t="inlineStr">
        <is>
          <t>Motorola Moto G 5G / Android 13</t>
        </is>
      </c>
      <c r="I17" s="15" t="inlineStr">
        <is>
          <t>Mobile data</t>
        </is>
      </c>
      <c r="J17" s="15" t="inlineStr">
        <is>
          <t>Rice</t>
        </is>
      </c>
      <c r="K17" s="15" t="n">
        <v>1</v>
      </c>
      <c r="L17" s="15" t="inlineStr">
        <is>
          <t>bag</t>
        </is>
      </c>
      <c r="M17" s="15" t="n">
        <v>70000</v>
      </c>
      <c r="N17" s="15" t="inlineStr">
        <is>
          <t>M rere otu akpa Rice na naira puku iri asaa</t>
        </is>
      </c>
      <c r="O17" s="21" t="inlineStr">
        <is>
          <t>Not captured in supplied client evidence</t>
        </is>
      </c>
      <c r="P17" s="15" t="inlineStr">
        <is>
          <t>NCAIR1/Igbo-ASR</t>
        </is>
      </c>
      <c r="Q17" s="15" t="n"/>
      <c r="R17" s="15" t="n"/>
      <c r="S17" s="15" t="n"/>
      <c r="T17" s="15" t="n"/>
      <c r="U17" s="15" t="n"/>
      <c r="V17" s="15" t="n"/>
      <c r="W17" s="15" t="n"/>
      <c r="X17" s="15" t="n"/>
      <c r="Y17" s="15" t="n"/>
      <c r="Z17" s="15" t="n"/>
      <c r="AA17" s="15" t="inlineStr">
        <is>
          <t>Server ASR response completed; client result not captured</t>
        </is>
      </c>
      <c r="AB17" s="15" t="inlineStr">
        <is>
          <t>R016 — AKE_Server_Request_Evidence_2026-10-12.csv</t>
        </is>
      </c>
      <c r="AC17" s="21" t="inlineStr">
        <is>
          <t>Server log verifies the request/status. Raw audio and response transcript were not retained. Participant, consent and session context are from the supplied worksheet screenshot.</t>
        </is>
      </c>
      <c r="AD17" s="15" t="n"/>
    </row>
    <row r="18" ht="44" customHeight="1">
      <c r="A18" s="14" t="inlineStr">
        <is>
          <t>I017</t>
        </is>
      </c>
      <c r="B18" s="20" t="n">
        <v>46307.57858796296</v>
      </c>
      <c r="C18" s="14" t="inlineStr">
        <is>
          <t>P04</t>
        </is>
      </c>
      <c r="D18" s="15" t="inlineStr">
        <is>
          <t>Yes</t>
        </is>
      </c>
      <c r="E18" s="14" t="inlineStr">
        <is>
          <t>S02</t>
        </is>
      </c>
      <c r="F18" s="15" t="inlineStr">
        <is>
          <t>Igbo</t>
        </is>
      </c>
      <c r="G18" s="15" t="inlineStr">
        <is>
          <t>Normal shop</t>
        </is>
      </c>
      <c r="H18" s="15" t="inlineStr">
        <is>
          <t>Motorola Moto G 5G / Android 13</t>
        </is>
      </c>
      <c r="I18" s="15" t="inlineStr">
        <is>
          <t>Mobile data</t>
        </is>
      </c>
      <c r="J18" s="15" t="inlineStr">
        <is>
          <t>Indomie noodles</t>
        </is>
      </c>
      <c r="K18" s="15" t="n">
        <v>1</v>
      </c>
      <c r="L18" s="15" t="inlineStr">
        <is>
          <t>carton</t>
        </is>
      </c>
      <c r="M18" s="15" t="n">
        <v>10000</v>
      </c>
      <c r="N18" s="15" t="inlineStr">
        <is>
          <t>M rere otu katon Indomie noodles na naira puku iri</t>
        </is>
      </c>
      <c r="O18" s="21" t="inlineStr">
        <is>
          <t>Not captured in supplied client evidence</t>
        </is>
      </c>
      <c r="P18" s="15" t="inlineStr">
        <is>
          <t>NCAIR1/Igbo-ASR</t>
        </is>
      </c>
      <c r="Q18" s="15" t="n"/>
      <c r="R18" s="15" t="n"/>
      <c r="S18" s="15" t="n"/>
      <c r="T18" s="15" t="n"/>
      <c r="U18" s="15" t="n"/>
      <c r="V18" s="15" t="n"/>
      <c r="W18" s="15" t="n"/>
      <c r="X18" s="15" t="n"/>
      <c r="Y18" s="15" t="n"/>
      <c r="Z18" s="15" t="n"/>
      <c r="AA18" s="15" t="inlineStr">
        <is>
          <t>Server ASR response completed; client result not captured</t>
        </is>
      </c>
      <c r="AB18" s="15" t="inlineStr">
        <is>
          <t>R017 — AKE_Server_Request_Evidence_2026-10-12.csv</t>
        </is>
      </c>
      <c r="AC18" s="21" t="inlineStr">
        <is>
          <t>Server log verifies the request/status. Raw audio and response transcript were not retained. Participant, consent and session context are from the supplied worksheet screenshot.</t>
        </is>
      </c>
      <c r="AD18" s="15" t="n"/>
    </row>
    <row r="19" ht="44" customHeight="1">
      <c r="A19" s="14" t="inlineStr">
        <is>
          <t>I018</t>
        </is>
      </c>
      <c r="B19" s="20" t="n">
        <v>46307.57944444445</v>
      </c>
      <c r="C19" s="14" t="inlineStr">
        <is>
          <t>P04</t>
        </is>
      </c>
      <c r="D19" s="15" t="inlineStr">
        <is>
          <t>Yes</t>
        </is>
      </c>
      <c r="E19" s="14" t="inlineStr">
        <is>
          <t>S03</t>
        </is>
      </c>
      <c r="F19" s="15" t="inlineStr">
        <is>
          <t>Igbo</t>
        </is>
      </c>
      <c r="G19" s="15" t="inlineStr">
        <is>
          <t>Normal shop</t>
        </is>
      </c>
      <c r="H19" s="15" t="inlineStr">
        <is>
          <t>Motorola Moto G 5G / Android 13</t>
        </is>
      </c>
      <c r="I19" s="15" t="inlineStr">
        <is>
          <t>Mobile data</t>
        </is>
      </c>
      <c r="J19" s="15" t="inlineStr">
        <is>
          <t>Tin tomatoes</t>
        </is>
      </c>
      <c r="K19" s="15" t="n">
        <v>1</v>
      </c>
      <c r="L19" s="15" t="inlineStr">
        <is>
          <t>carton</t>
        </is>
      </c>
      <c r="M19" s="15" t="n">
        <v>50000</v>
      </c>
      <c r="N19" s="15" t="inlineStr">
        <is>
          <t>M rere otu katon Tin tomatoes na naira puku iri ise</t>
        </is>
      </c>
      <c r="O19" s="21" t="inlineStr">
        <is>
          <t>Not captured in supplied client evidence</t>
        </is>
      </c>
      <c r="P19" s="15" t="inlineStr">
        <is>
          <t>NCAIR1/Igbo-ASR</t>
        </is>
      </c>
      <c r="Q19" s="15" t="n"/>
      <c r="R19" s="15" t="n"/>
      <c r="S19" s="15" t="n"/>
      <c r="T19" s="15" t="n"/>
      <c r="U19" s="15" t="n"/>
      <c r="V19" s="15" t="n"/>
      <c r="W19" s="15" t="n"/>
      <c r="X19" s="15" t="n"/>
      <c r="Y19" s="15" t="n"/>
      <c r="Z19" s="15" t="n"/>
      <c r="AA19" s="15" t="inlineStr">
        <is>
          <t>Server ASR response completed; client result not captured</t>
        </is>
      </c>
      <c r="AB19" s="15" t="inlineStr">
        <is>
          <t>R018 — AKE_Server_Request_Evidence_2026-10-12.csv</t>
        </is>
      </c>
      <c r="AC19" s="21" t="inlineStr">
        <is>
          <t>Server log verifies the request/status. Raw audio and response transcript were not retained. Participant, consent and session context are from the supplied worksheet screenshot.</t>
        </is>
      </c>
      <c r="AD19" s="15" t="n"/>
    </row>
    <row r="20" ht="44" customHeight="1">
      <c r="A20" s="14" t="inlineStr">
        <is>
          <t>I019</t>
        </is>
      </c>
      <c r="B20" s="20" t="n">
        <v>46307.58060185185</v>
      </c>
      <c r="C20" s="14" t="inlineStr">
        <is>
          <t>P04</t>
        </is>
      </c>
      <c r="D20" s="15" t="inlineStr">
        <is>
          <t>Yes</t>
        </is>
      </c>
      <c r="E20" s="14" t="inlineStr">
        <is>
          <t>S04</t>
        </is>
      </c>
      <c r="F20" s="15" t="inlineStr">
        <is>
          <t>Igbo</t>
        </is>
      </c>
      <c r="G20" s="15" t="inlineStr">
        <is>
          <t>Normal shop</t>
        </is>
      </c>
      <c r="H20" s="15" t="inlineStr">
        <is>
          <t>Motorola Moto G 5G / Android 13</t>
        </is>
      </c>
      <c r="I20" s="15" t="inlineStr">
        <is>
          <t>Mobile data</t>
        </is>
      </c>
      <c r="J20" s="15" t="n"/>
      <c r="K20" s="15" t="n"/>
      <c r="L20" s="15" t="n"/>
      <c r="M20" s="15" t="n"/>
      <c r="N20" s="15" t="n"/>
      <c r="O20" s="21" t="inlineStr">
        <is>
          <t>Not captured in supplied client evidence</t>
        </is>
      </c>
      <c r="P20" s="15" t="inlineStr">
        <is>
          <t>NCAIR1/Igbo-ASR</t>
        </is>
      </c>
      <c r="Q20" s="15" t="n"/>
      <c r="R20" s="15" t="n"/>
      <c r="S20" s="15" t="n"/>
      <c r="T20" s="15" t="n"/>
      <c r="U20" s="15" t="n"/>
      <c r="V20" s="15" t="n"/>
      <c r="W20" s="15" t="n"/>
      <c r="X20" s="15" t="n"/>
      <c r="Y20" s="15" t="n"/>
      <c r="Z20" s="15" t="n"/>
      <c r="AA20" s="15" t="inlineStr">
        <is>
          <t>Server ASR response completed; client result not captured</t>
        </is>
      </c>
      <c r="AB20" s="15" t="inlineStr">
        <is>
          <t>R019 — AKE_Server_Request_Evidence_2026-10-12.csv</t>
        </is>
      </c>
      <c r="AC20" s="21" t="inlineStr">
        <is>
          <t>Server log verifies the request/status. Raw audio and response transcript were not retained. Participant, consent and session context are from the supplied worksheet screenshot.</t>
        </is>
      </c>
      <c r="AD20" s="15" t="n"/>
    </row>
    <row r="21" ht="44" customHeight="1">
      <c r="A21" s="14" t="inlineStr">
        <is>
          <t>I020</t>
        </is>
      </c>
      <c r="B21" s="20" t="n">
        <v>46307.71628472222</v>
      </c>
      <c r="C21" s="14" t="inlineStr">
        <is>
          <t>P04</t>
        </is>
      </c>
      <c r="D21" s="15" t="inlineStr">
        <is>
          <t>Yes</t>
        </is>
      </c>
      <c r="E21" s="14" t="inlineStr">
        <is>
          <t>S05</t>
        </is>
      </c>
      <c r="F21" s="15" t="inlineStr">
        <is>
          <t>English</t>
        </is>
      </c>
      <c r="G21" s="15" t="inlineStr">
        <is>
          <t>Normal shop</t>
        </is>
      </c>
      <c r="H21" s="15" t="inlineStr">
        <is>
          <t>Motorola Moto G 5G / Android 13</t>
        </is>
      </c>
      <c r="I21" s="15" t="inlineStr">
        <is>
          <t>Mobile data</t>
        </is>
      </c>
      <c r="J21" s="15" t="n"/>
      <c r="K21" s="15" t="n"/>
      <c r="L21" s="15" t="n"/>
      <c r="M21" s="15" t="n"/>
      <c r="N21" s="15" t="n"/>
      <c r="O21" s="21" t="inlineStr">
        <is>
          <t>Not captured in supplied client evidence</t>
        </is>
      </c>
      <c r="P21" s="15" t="inlineStr">
        <is>
          <t>NCAIR1/NigerianAccentedEnglish</t>
        </is>
      </c>
      <c r="Q21" s="15" t="n"/>
      <c r="R21" s="15" t="n"/>
      <c r="S21" s="15" t="n"/>
      <c r="T21" s="15" t="n"/>
      <c r="U21" s="15" t="n"/>
      <c r="V21" s="15" t="n"/>
      <c r="W21" s="15" t="n"/>
      <c r="X21" s="15" t="n"/>
      <c r="Y21" s="15" t="n"/>
      <c r="Z21" s="15" t="n"/>
      <c r="AA21" s="15" t="inlineStr">
        <is>
          <t>Server ASR response completed; client result not captured</t>
        </is>
      </c>
      <c r="AB21" s="15" t="inlineStr">
        <is>
          <t>R020 — AKE_Server_Request_Evidence_2026-10-12.csv</t>
        </is>
      </c>
      <c r="AC21" s="21" t="inlineStr">
        <is>
          <t>Server log verifies the request/status. Raw audio and response transcript were not retained. Participant, consent and session context are from the supplied worksheet screenshot.</t>
        </is>
      </c>
      <c r="AD21" s="15" t="n"/>
    </row>
    <row r="22" ht="44" customHeight="1">
      <c r="A22" s="14" t="inlineStr">
        <is>
          <t>I021</t>
        </is>
      </c>
      <c r="B22" s="20" t="n">
        <v>46307.71682870371</v>
      </c>
      <c r="C22" s="14" t="inlineStr">
        <is>
          <t>P05</t>
        </is>
      </c>
      <c r="D22" s="15" t="inlineStr">
        <is>
          <t>Yes</t>
        </is>
      </c>
      <c r="E22" s="14" t="inlineStr">
        <is>
          <t>S01</t>
        </is>
      </c>
      <c r="F22" s="15" t="inlineStr">
        <is>
          <t>English</t>
        </is>
      </c>
      <c r="G22" s="15" t="inlineStr">
        <is>
          <t>Normal shop</t>
        </is>
      </c>
      <c r="H22" s="15" t="inlineStr">
        <is>
          <t>Motorola Moto G 5G / Android 13</t>
        </is>
      </c>
      <c r="I22" s="15" t="inlineStr">
        <is>
          <t>Mobile data</t>
        </is>
      </c>
      <c r="J22" s="15" t="inlineStr">
        <is>
          <t>Rice</t>
        </is>
      </c>
      <c r="K22" s="15" t="n">
        <v>1</v>
      </c>
      <c r="L22" s="15" t="inlineStr">
        <is>
          <t>bag</t>
        </is>
      </c>
      <c r="M22" s="15" t="n">
        <v>70000</v>
      </c>
      <c r="N22" s="15" t="inlineStr">
        <is>
          <t>Sold one bag of rice for seventy thousand naira</t>
        </is>
      </c>
      <c r="O22" s="21" t="inlineStr">
        <is>
          <t>Not captured in supplied client evidence</t>
        </is>
      </c>
      <c r="P22" s="15" t="inlineStr">
        <is>
          <t>NCAIR1/NigerianAccentedEnglish</t>
        </is>
      </c>
      <c r="Q22" s="15" t="n"/>
      <c r="R22" s="15" t="n"/>
      <c r="S22" s="15" t="n"/>
      <c r="T22" s="15" t="n"/>
      <c r="U22" s="15" t="n"/>
      <c r="V22" s="15" t="n"/>
      <c r="W22" s="15" t="n"/>
      <c r="X22" s="15" t="n"/>
      <c r="Y22" s="15" t="n"/>
      <c r="Z22" s="15" t="n"/>
      <c r="AA22" s="15" t="inlineStr">
        <is>
          <t>Server ASR response completed; client result not captured</t>
        </is>
      </c>
      <c r="AB22" s="15" t="inlineStr">
        <is>
          <t>R021 — AKE_Server_Request_Evidence_2026-10-12.csv</t>
        </is>
      </c>
      <c r="AC22" s="21" t="inlineStr">
        <is>
          <t>Server log verifies the request/status. Raw audio and response transcript were not retained. Participant, consent and session context are from the supplied worksheet screenshot.</t>
        </is>
      </c>
      <c r="AD22" s="15" t="n"/>
    </row>
    <row r="23" ht="44" customHeight="1">
      <c r="A23" s="14" t="inlineStr">
        <is>
          <t>I022</t>
        </is>
      </c>
      <c r="B23" s="20" t="n">
        <v>46307.71762731481</v>
      </c>
      <c r="C23" s="14" t="inlineStr">
        <is>
          <t>P05</t>
        </is>
      </c>
      <c r="D23" s="15" t="inlineStr">
        <is>
          <t>Yes</t>
        </is>
      </c>
      <c r="E23" s="14" t="inlineStr">
        <is>
          <t>S02</t>
        </is>
      </c>
      <c r="F23" s="15" t="inlineStr">
        <is>
          <t>English</t>
        </is>
      </c>
      <c r="G23" s="15" t="inlineStr">
        <is>
          <t>Normal shop</t>
        </is>
      </c>
      <c r="H23" s="15" t="inlineStr">
        <is>
          <t>Motorola Moto G 5G / Android 13</t>
        </is>
      </c>
      <c r="I23" s="15" t="inlineStr">
        <is>
          <t>Mobile data</t>
        </is>
      </c>
      <c r="J23" s="15" t="inlineStr">
        <is>
          <t>Indomie noodles</t>
        </is>
      </c>
      <c r="K23" s="15" t="n">
        <v>1</v>
      </c>
      <c r="L23" s="15" t="inlineStr">
        <is>
          <t>carton</t>
        </is>
      </c>
      <c r="M23" s="15" t="n">
        <v>10000</v>
      </c>
      <c r="N23" s="15" t="inlineStr">
        <is>
          <t>Indomie one carton ten thousand naira</t>
        </is>
      </c>
      <c r="O23" s="21" t="inlineStr">
        <is>
          <t>Not captured in supplied client evidence</t>
        </is>
      </c>
      <c r="P23" s="15" t="inlineStr">
        <is>
          <t>NCAIR1/NigerianAccentedEnglish</t>
        </is>
      </c>
      <c r="Q23" s="15" t="n"/>
      <c r="R23" s="15" t="n"/>
      <c r="S23" s="15" t="n"/>
      <c r="T23" s="15" t="n"/>
      <c r="U23" s="15" t="n"/>
      <c r="V23" s="15" t="n"/>
      <c r="W23" s="15" t="n"/>
      <c r="X23" s="15" t="n"/>
      <c r="Y23" s="15" t="n"/>
      <c r="Z23" s="15" t="n"/>
      <c r="AA23" s="15" t="inlineStr">
        <is>
          <t>Server ASR response completed; client result not captured</t>
        </is>
      </c>
      <c r="AB23" s="15" t="inlineStr">
        <is>
          <t>R022 — AKE_Server_Request_Evidence_2026-10-12.csv</t>
        </is>
      </c>
      <c r="AC23" s="21" t="inlineStr">
        <is>
          <t>Server log verifies the request/status. Raw audio and response transcript were not retained. Participant, consent and session context are from the supplied worksheet screenshot.</t>
        </is>
      </c>
      <c r="AD23" s="15" t="n"/>
    </row>
    <row r="24" ht="44" customHeight="1">
      <c r="A24" s="14" t="inlineStr">
        <is>
          <t>I023</t>
        </is>
      </c>
      <c r="B24" s="20" t="n">
        <v>46307.71855324074</v>
      </c>
      <c r="C24" s="14" t="inlineStr">
        <is>
          <t>P05</t>
        </is>
      </c>
      <c r="D24" s="15" t="inlineStr">
        <is>
          <t>Yes</t>
        </is>
      </c>
      <c r="E24" s="14" t="inlineStr">
        <is>
          <t>S03</t>
        </is>
      </c>
      <c r="F24" s="15" t="inlineStr">
        <is>
          <t>English</t>
        </is>
      </c>
      <c r="G24" s="15" t="inlineStr">
        <is>
          <t>Normal shop</t>
        </is>
      </c>
      <c r="H24" s="15" t="inlineStr">
        <is>
          <t>Motorola Moto G 5G / Android 13</t>
        </is>
      </c>
      <c r="I24" s="15" t="inlineStr">
        <is>
          <t>Mobile data</t>
        </is>
      </c>
      <c r="J24" s="15" t="inlineStr">
        <is>
          <t>Tin tomatoes</t>
        </is>
      </c>
      <c r="K24" s="15" t="n">
        <v>1</v>
      </c>
      <c r="L24" s="15" t="inlineStr">
        <is>
          <t>carton</t>
        </is>
      </c>
      <c r="M24" s="15" t="n">
        <v>50000</v>
      </c>
      <c r="N24" s="15" t="inlineStr">
        <is>
          <t>Tin tomatoes one carton fifty thousand naira</t>
        </is>
      </c>
      <c r="O24" s="21" t="inlineStr">
        <is>
          <t>Not captured in supplied client evidence</t>
        </is>
      </c>
      <c r="P24" s="15" t="inlineStr">
        <is>
          <t>NCAIR1/NigerianAccentedEnglish</t>
        </is>
      </c>
      <c r="Q24" s="15" t="n"/>
      <c r="R24" s="15" t="n"/>
      <c r="S24" s="15" t="n"/>
      <c r="T24" s="15" t="n"/>
      <c r="U24" s="15" t="n"/>
      <c r="V24" s="15" t="n"/>
      <c r="W24" s="15" t="n"/>
      <c r="X24" s="15" t="n"/>
      <c r="Y24" s="15" t="n"/>
      <c r="Z24" s="15" t="n"/>
      <c r="AA24" s="15" t="inlineStr">
        <is>
          <t>Server ASR response completed; client result not captured</t>
        </is>
      </c>
      <c r="AB24" s="15" t="inlineStr">
        <is>
          <t>R023 — AKE_Server_Request_Evidence_2026-10-12.csv</t>
        </is>
      </c>
      <c r="AC24" s="21" t="inlineStr">
        <is>
          <t>Server log verifies the request/status. Raw audio and response transcript were not retained. Participant, consent and session context are from the supplied worksheet screenshot.</t>
        </is>
      </c>
      <c r="AD24" s="15" t="n"/>
    </row>
    <row r="25" ht="44" customHeight="1">
      <c r="A25" s="14" t="inlineStr">
        <is>
          <t>I024</t>
        </is>
      </c>
      <c r="B25" s="20" t="n">
        <v>46307.71903935185</v>
      </c>
      <c r="C25" s="14" t="inlineStr">
        <is>
          <t>P05</t>
        </is>
      </c>
      <c r="D25" s="15" t="inlineStr">
        <is>
          <t>Yes</t>
        </is>
      </c>
      <c r="E25" s="14" t="inlineStr">
        <is>
          <t>S04</t>
        </is>
      </c>
      <c r="F25" s="15" t="inlineStr">
        <is>
          <t>English</t>
        </is>
      </c>
      <c r="G25" s="15" t="inlineStr">
        <is>
          <t>Normal shop</t>
        </is>
      </c>
      <c r="H25" s="15" t="inlineStr">
        <is>
          <t>Motorola Moto G 5G / Android 13</t>
        </is>
      </c>
      <c r="I25" s="15" t="inlineStr">
        <is>
          <t>Mobile data</t>
        </is>
      </c>
      <c r="J25" s="15" t="n"/>
      <c r="K25" s="15" t="n"/>
      <c r="L25" s="15" t="n"/>
      <c r="M25" s="15" t="n"/>
      <c r="N25" s="15" t="n"/>
      <c r="O25" s="21" t="inlineStr">
        <is>
          <t>Not captured in supplied client evidence</t>
        </is>
      </c>
      <c r="P25" s="15" t="inlineStr">
        <is>
          <t>NCAIR1/NigerianAccentedEnglish</t>
        </is>
      </c>
      <c r="Q25" s="15" t="n"/>
      <c r="R25" s="15" t="n"/>
      <c r="S25" s="15" t="n"/>
      <c r="T25" s="15" t="n"/>
      <c r="U25" s="15" t="n"/>
      <c r="V25" s="15" t="n"/>
      <c r="W25" s="15" t="n"/>
      <c r="X25" s="15" t="n"/>
      <c r="Y25" s="15" t="n"/>
      <c r="Z25" s="15" t="n"/>
      <c r="AA25" s="15" t="inlineStr">
        <is>
          <t>Server ASR response completed; client result not captured</t>
        </is>
      </c>
      <c r="AB25" s="15" t="inlineStr">
        <is>
          <t>R024 — AKE_Server_Request_Evidence_2026-10-12.csv</t>
        </is>
      </c>
      <c r="AC25" s="21" t="inlineStr">
        <is>
          <t>Server log verifies the request/status. Raw audio and response transcript were not retained. Participant, consent and session context are from the supplied worksheet screenshot.</t>
        </is>
      </c>
      <c r="AD25" s="15" t="n"/>
    </row>
    <row r="26" ht="44" customHeight="1">
      <c r="A26" s="14" t="inlineStr">
        <is>
          <t>I025</t>
        </is>
      </c>
      <c r="B26" s="20" t="n">
        <v>46307.71967592592</v>
      </c>
      <c r="C26" s="14" t="inlineStr">
        <is>
          <t>P05</t>
        </is>
      </c>
      <c r="D26" s="15" t="inlineStr">
        <is>
          <t>Yes</t>
        </is>
      </c>
      <c r="E26" s="14" t="inlineStr">
        <is>
          <t>S05</t>
        </is>
      </c>
      <c r="F26" s="15" t="inlineStr">
        <is>
          <t>English</t>
        </is>
      </c>
      <c r="G26" s="15" t="inlineStr">
        <is>
          <t>Normal shop</t>
        </is>
      </c>
      <c r="H26" s="15" t="inlineStr">
        <is>
          <t>Motorola Moto G 5G / Android 13</t>
        </is>
      </c>
      <c r="I26" s="15" t="inlineStr">
        <is>
          <t>Mobile data</t>
        </is>
      </c>
      <c r="J26" s="15" t="n"/>
      <c r="K26" s="15" t="n"/>
      <c r="L26" s="15" t="n"/>
      <c r="M26" s="15" t="n"/>
      <c r="N26" s="15" t="n"/>
      <c r="O26" s="21" t="inlineStr">
        <is>
          <t>Not captured in supplied client evidence</t>
        </is>
      </c>
      <c r="P26" s="15" t="inlineStr">
        <is>
          <t>NCAIR1/NigerianAccentedEnglish</t>
        </is>
      </c>
      <c r="Q26" s="15" t="n"/>
      <c r="R26" s="15" t="n"/>
      <c r="S26" s="15" t="n"/>
      <c r="T26" s="15" t="n"/>
      <c r="U26" s="15" t="n"/>
      <c r="V26" s="15" t="n"/>
      <c r="W26" s="15" t="n"/>
      <c r="X26" s="15" t="n"/>
      <c r="Y26" s="15" t="n"/>
      <c r="Z26" s="15" t="n"/>
      <c r="AA26" s="15" t="inlineStr">
        <is>
          <t>Server ASR response completed; client result not captured</t>
        </is>
      </c>
      <c r="AB26" s="15" t="inlineStr">
        <is>
          <t>R025 — AKE_Server_Request_Evidence_2026-10-12.csv</t>
        </is>
      </c>
      <c r="AC26" s="21" t="inlineStr">
        <is>
          <t>Server log verifies the request/status. Raw audio and response transcript were not retained. Participant, consent and session context are from the supplied worksheet screenshot.</t>
        </is>
      </c>
      <c r="AD26" s="15" t="n"/>
    </row>
    <row r="27" ht="44" customHeight="1">
      <c r="A27" s="14" t="inlineStr">
        <is>
          <t>I026</t>
        </is>
      </c>
      <c r="B27" s="20" t="n">
        <v>46307.72077546296</v>
      </c>
      <c r="C27" s="14" t="inlineStr">
        <is>
          <t>P06</t>
        </is>
      </c>
      <c r="D27" s="15" t="inlineStr">
        <is>
          <t>Yes</t>
        </is>
      </c>
      <c r="E27" s="14" t="inlineStr">
        <is>
          <t>S01</t>
        </is>
      </c>
      <c r="F27" s="15" t="inlineStr">
        <is>
          <t>English</t>
        </is>
      </c>
      <c r="G27" s="15" t="inlineStr">
        <is>
          <t>Roadside/outdoor</t>
        </is>
      </c>
      <c r="H27" s="15" t="inlineStr">
        <is>
          <t>Motorola Moto G 5G / Android 13</t>
        </is>
      </c>
      <c r="I27" s="15" t="inlineStr">
        <is>
          <t>Mobile data</t>
        </is>
      </c>
      <c r="J27" s="15" t="inlineStr">
        <is>
          <t>Rice</t>
        </is>
      </c>
      <c r="K27" s="15" t="n">
        <v>1</v>
      </c>
      <c r="L27" s="15" t="inlineStr">
        <is>
          <t>bag</t>
        </is>
      </c>
      <c r="M27" s="15" t="n">
        <v>70000</v>
      </c>
      <c r="N27" s="15" t="inlineStr">
        <is>
          <t>Sold one bag of rice for seventy thousand naira</t>
        </is>
      </c>
      <c r="O27" s="21" t="inlineStr">
        <is>
          <t>Not captured in supplied client evidence</t>
        </is>
      </c>
      <c r="P27" s="15" t="inlineStr">
        <is>
          <t>NCAIR1/NigerianAccentedEnglish</t>
        </is>
      </c>
      <c r="Q27" s="15" t="n"/>
      <c r="R27" s="15" t="n"/>
      <c r="S27" s="15" t="n"/>
      <c r="T27" s="15" t="n"/>
      <c r="U27" s="15" t="n"/>
      <c r="V27" s="15" t="n"/>
      <c r="W27" s="15" t="n"/>
      <c r="X27" s="15" t="n"/>
      <c r="Y27" s="15" t="n"/>
      <c r="Z27" s="15" t="n"/>
      <c r="AA27" s="15" t="inlineStr">
        <is>
          <t>Server ASR response completed; client result not captured</t>
        </is>
      </c>
      <c r="AB27" s="15" t="inlineStr">
        <is>
          <t>R026 — AKE_Server_Request_Evidence_2026-10-12.csv</t>
        </is>
      </c>
      <c r="AC27" s="21" t="inlineStr">
        <is>
          <t>Server log verifies the request/status. Raw audio and response transcript were not retained. Participant, consent and session context are from the supplied worksheet screenshot.</t>
        </is>
      </c>
      <c r="AD27" s="15" t="n"/>
    </row>
    <row r="28" ht="44" customHeight="1">
      <c r="A28" s="14" t="inlineStr">
        <is>
          <t>I027</t>
        </is>
      </c>
      <c r="B28" s="20" t="n">
        <v>46307.72222222222</v>
      </c>
      <c r="C28" s="14" t="inlineStr">
        <is>
          <t>P06</t>
        </is>
      </c>
      <c r="D28" s="15" t="inlineStr">
        <is>
          <t>Yes</t>
        </is>
      </c>
      <c r="E28" s="14" t="inlineStr">
        <is>
          <t>S02</t>
        </is>
      </c>
      <c r="F28" s="15" t="inlineStr">
        <is>
          <t>English</t>
        </is>
      </c>
      <c r="G28" s="15" t="inlineStr">
        <is>
          <t>Roadside/outdoor</t>
        </is>
      </c>
      <c r="H28" s="15" t="inlineStr">
        <is>
          <t>Motorola Moto G 5G / Android 13</t>
        </is>
      </c>
      <c r="I28" s="15" t="inlineStr">
        <is>
          <t>Mobile data</t>
        </is>
      </c>
      <c r="J28" s="15" t="inlineStr">
        <is>
          <t>Indomie noodles</t>
        </is>
      </c>
      <c r="K28" s="15" t="n">
        <v>1</v>
      </c>
      <c r="L28" s="15" t="inlineStr">
        <is>
          <t>carton</t>
        </is>
      </c>
      <c r="M28" s="15" t="n">
        <v>10000</v>
      </c>
      <c r="N28" s="15" t="inlineStr">
        <is>
          <t>Indomie one carton ten thousand naira</t>
        </is>
      </c>
      <c r="O28" s="21" t="inlineStr">
        <is>
          <t>Not captured in supplied client evidence</t>
        </is>
      </c>
      <c r="P28" s="15" t="inlineStr">
        <is>
          <t>NCAIR1/NigerianAccentedEnglish</t>
        </is>
      </c>
      <c r="Q28" s="15" t="n"/>
      <c r="R28" s="15" t="n"/>
      <c r="S28" s="15" t="n"/>
      <c r="T28" s="15" t="n"/>
      <c r="U28" s="15" t="n"/>
      <c r="V28" s="15" t="n"/>
      <c r="W28" s="15" t="n"/>
      <c r="X28" s="15" t="n"/>
      <c r="Y28" s="15" t="n"/>
      <c r="Z28" s="15" t="n"/>
      <c r="AA28" s="15" t="inlineStr">
        <is>
          <t>Server ASR response completed; client result not captured</t>
        </is>
      </c>
      <c r="AB28" s="15" t="inlineStr">
        <is>
          <t>R027 — AKE_Server_Request_Evidence_2026-10-12.csv</t>
        </is>
      </c>
      <c r="AC28" s="21" t="inlineStr">
        <is>
          <t>Server log verifies the request/status. Raw audio and response transcript were not retained. Participant, consent and session context are from the supplied worksheet screenshot.</t>
        </is>
      </c>
      <c r="AD28" s="15" t="n"/>
    </row>
    <row r="29" ht="44" customHeight="1">
      <c r="A29" s="14" t="inlineStr">
        <is>
          <t>I028</t>
        </is>
      </c>
      <c r="B29" s="20" t="n">
        <v>46307.72664351852</v>
      </c>
      <c r="C29" s="14" t="inlineStr">
        <is>
          <t>P06</t>
        </is>
      </c>
      <c r="D29" s="15" t="inlineStr">
        <is>
          <t>Yes</t>
        </is>
      </c>
      <c r="E29" s="14" t="inlineStr">
        <is>
          <t>S03</t>
        </is>
      </c>
      <c r="F29" s="15" t="inlineStr">
        <is>
          <t>Yoruba</t>
        </is>
      </c>
      <c r="G29" s="15" t="inlineStr">
        <is>
          <t>Roadside/outdoor</t>
        </is>
      </c>
      <c r="H29" s="15" t="inlineStr">
        <is>
          <t>Motorola Moto G 5G / Android 13</t>
        </is>
      </c>
      <c r="I29" s="15" t="inlineStr">
        <is>
          <t>Mobile data</t>
        </is>
      </c>
      <c r="J29" s="15" t="inlineStr">
        <is>
          <t>Tin tomatoes</t>
        </is>
      </c>
      <c r="K29" s="15" t="n">
        <v>1</v>
      </c>
      <c r="L29" s="15" t="inlineStr">
        <is>
          <t>carton</t>
        </is>
      </c>
      <c r="M29" s="15" t="n">
        <v>50000</v>
      </c>
      <c r="N29" s="15" t="inlineStr">
        <is>
          <t>Tin tomatoes one carton fifty thousand naira</t>
        </is>
      </c>
      <c r="O29" s="21" t="inlineStr">
        <is>
          <t>Not captured in supplied client evidence</t>
        </is>
      </c>
      <c r="P29" s="15" t="inlineStr">
        <is>
          <t>NCAIR1/Yoruba-ASR</t>
        </is>
      </c>
      <c r="Q29" s="15" t="n"/>
      <c r="R29" s="15" t="n"/>
      <c r="S29" s="15" t="n"/>
      <c r="T29" s="15" t="n"/>
      <c r="U29" s="15" t="n"/>
      <c r="V29" s="15" t="n"/>
      <c r="W29" s="15" t="n"/>
      <c r="X29" s="15" t="n"/>
      <c r="Y29" s="15" t="n"/>
      <c r="Z29" s="15" t="n"/>
      <c r="AA29" s="15" t="inlineStr">
        <is>
          <t>Server ASR response completed; client result not captured</t>
        </is>
      </c>
      <c r="AB29" s="15" t="inlineStr">
        <is>
          <t>R028 — AKE_Server_Request_Evidence_2026-10-12.csv</t>
        </is>
      </c>
      <c r="AC29" s="21" t="inlineStr">
        <is>
          <t>Server log verifies the request/status. Raw audio and response transcript were not retained. Participant, consent and session context are from the supplied worksheet screenshot.</t>
        </is>
      </c>
      <c r="AD29" s="15" t="n"/>
    </row>
    <row r="30" ht="44" customHeight="1">
      <c r="A30" s="14" t="inlineStr">
        <is>
          <t>I029</t>
        </is>
      </c>
      <c r="B30" s="20" t="n">
        <v>46307.72997685185</v>
      </c>
      <c r="C30" s="14" t="inlineStr">
        <is>
          <t>P06</t>
        </is>
      </c>
      <c r="D30" s="15" t="inlineStr">
        <is>
          <t>Yes</t>
        </is>
      </c>
      <c r="E30" s="14" t="inlineStr">
        <is>
          <t>S04</t>
        </is>
      </c>
      <c r="F30" s="15" t="inlineStr">
        <is>
          <t>Yoruba</t>
        </is>
      </c>
      <c r="G30" s="15" t="inlineStr">
        <is>
          <t>Roadside/outdoor</t>
        </is>
      </c>
      <c r="H30" s="15" t="inlineStr">
        <is>
          <t>Motorola Moto G 5G / Android 13</t>
        </is>
      </c>
      <c r="I30" s="15" t="inlineStr">
        <is>
          <t>Mobile data</t>
        </is>
      </c>
      <c r="J30" s="15" t="n"/>
      <c r="K30" s="15" t="n"/>
      <c r="L30" s="15" t="n"/>
      <c r="M30" s="15" t="n"/>
      <c r="N30" s="15" t="n"/>
      <c r="O30" s="21" t="inlineStr">
        <is>
          <t>Not captured in supplied client evidence</t>
        </is>
      </c>
      <c r="P30" s="15" t="inlineStr">
        <is>
          <t>NCAIR1/Yoruba-ASR</t>
        </is>
      </c>
      <c r="Q30" s="15" t="n"/>
      <c r="R30" s="15" t="n"/>
      <c r="S30" s="15" t="n"/>
      <c r="T30" s="15" t="n"/>
      <c r="U30" s="15" t="n"/>
      <c r="V30" s="15" t="n"/>
      <c r="W30" s="15" t="n"/>
      <c r="X30" s="15" t="n"/>
      <c r="Y30" s="15" t="n"/>
      <c r="Z30" s="15" t="n"/>
      <c r="AA30" s="15" t="inlineStr">
        <is>
          <t>Server ASR response completed; client result not captured</t>
        </is>
      </c>
      <c r="AB30" s="15" t="inlineStr">
        <is>
          <t>R029 — AKE_Server_Request_Evidence_2026-10-12.csv</t>
        </is>
      </c>
      <c r="AC30" s="21" t="inlineStr">
        <is>
          <t>Server log verifies the request/status. Raw audio and response transcript were not retained. Participant, consent and session context are from the supplied worksheet screenshot.</t>
        </is>
      </c>
      <c r="AD30" s="15" t="n"/>
    </row>
    <row r="31" ht="44" customHeight="1">
      <c r="A31" s="14" t="inlineStr">
        <is>
          <t>I030</t>
        </is>
      </c>
      <c r="B31" s="20" t="n">
        <v>46307.7303587963</v>
      </c>
      <c r="C31" s="14" t="inlineStr">
        <is>
          <t>P06</t>
        </is>
      </c>
      <c r="D31" s="15" t="inlineStr">
        <is>
          <t>Yes</t>
        </is>
      </c>
      <c r="E31" s="14" t="inlineStr">
        <is>
          <t>S05</t>
        </is>
      </c>
      <c r="F31" s="15" t="inlineStr">
        <is>
          <t>Yoruba</t>
        </is>
      </c>
      <c r="G31" s="15" t="inlineStr">
        <is>
          <t>Roadside/outdoor</t>
        </is>
      </c>
      <c r="H31" s="15" t="inlineStr">
        <is>
          <t>Motorola Moto G 5G / Android 13</t>
        </is>
      </c>
      <c r="I31" s="15" t="inlineStr">
        <is>
          <t>Mobile data</t>
        </is>
      </c>
      <c r="J31" s="15" t="n"/>
      <c r="K31" s="15" t="n"/>
      <c r="L31" s="15" t="n"/>
      <c r="M31" s="15" t="n"/>
      <c r="N31" s="15" t="n"/>
      <c r="O31" s="21" t="inlineStr">
        <is>
          <t>Not captured in supplied client evidence</t>
        </is>
      </c>
      <c r="P31" s="15" t="inlineStr">
        <is>
          <t>NCAIR1/Yoruba-ASR</t>
        </is>
      </c>
      <c r="Q31" s="15" t="n"/>
      <c r="R31" s="15" t="n"/>
      <c r="S31" s="15" t="n"/>
      <c r="T31" s="15" t="n"/>
      <c r="U31" s="15" t="n"/>
      <c r="V31" s="15" t="n"/>
      <c r="W31" s="15" t="n"/>
      <c r="X31" s="15" t="n"/>
      <c r="Y31" s="15" t="n"/>
      <c r="Z31" s="15" t="n"/>
      <c r="AA31" s="15" t="inlineStr">
        <is>
          <t>Server ASR response completed; client result not captured</t>
        </is>
      </c>
      <c r="AB31" s="15" t="inlineStr">
        <is>
          <t>R030 — AKE_Server_Request_Evidence_2026-10-12.csv</t>
        </is>
      </c>
      <c r="AC31" s="21" t="inlineStr">
        <is>
          <t>Server log verifies the request/status. Raw audio and response transcript were not retained. Participant, consent and session context are from the supplied worksheet screenshot.</t>
        </is>
      </c>
      <c r="AD31" s="15" t="n"/>
    </row>
    <row r="32" ht="44" customHeight="1">
      <c r="A32" s="14" t="inlineStr">
        <is>
          <t>I031</t>
        </is>
      </c>
      <c r="B32" s="20" t="n">
        <v>46307.73163194444</v>
      </c>
      <c r="C32" s="14" t="inlineStr">
        <is>
          <t>P07</t>
        </is>
      </c>
      <c r="D32" s="15" t="inlineStr">
        <is>
          <t>Yes</t>
        </is>
      </c>
      <c r="E32" s="14" t="inlineStr">
        <is>
          <t>S01</t>
        </is>
      </c>
      <c r="F32" s="15" t="inlineStr">
        <is>
          <t>Yoruba</t>
        </is>
      </c>
      <c r="G32" s="15" t="inlineStr">
        <is>
          <t>Roadside/outdoor</t>
        </is>
      </c>
      <c r="H32" s="15" t="inlineStr">
        <is>
          <t>Motorola Moto G 5G / Android 13</t>
        </is>
      </c>
      <c r="I32" s="15" t="inlineStr">
        <is>
          <t>Mobile data</t>
        </is>
      </c>
      <c r="J32" s="15" t="inlineStr">
        <is>
          <t>Rice</t>
        </is>
      </c>
      <c r="K32" s="15" t="n">
        <v>1</v>
      </c>
      <c r="L32" s="15" t="inlineStr">
        <is>
          <t>bag</t>
        </is>
      </c>
      <c r="M32" s="15" t="n">
        <v>70000</v>
      </c>
      <c r="N32" s="15" t="inlineStr">
        <is>
          <t>Sold one bag of rice for seventy thousand naira</t>
        </is>
      </c>
      <c r="O32" s="21" t="inlineStr">
        <is>
          <t>Not captured in supplied client evidence</t>
        </is>
      </c>
      <c r="P32" s="15" t="inlineStr">
        <is>
          <t>NCAIR1/Yoruba-ASR</t>
        </is>
      </c>
      <c r="Q32" s="15" t="n"/>
      <c r="R32" s="15" t="n"/>
      <c r="S32" s="15" t="n"/>
      <c r="T32" s="15" t="n"/>
      <c r="U32" s="15" t="n"/>
      <c r="V32" s="15" t="n"/>
      <c r="W32" s="15" t="n"/>
      <c r="X32" s="15" t="n"/>
      <c r="Y32" s="15" t="n"/>
      <c r="Z32" s="15" t="n"/>
      <c r="AA32" s="15" t="inlineStr">
        <is>
          <t>Server ASR response completed; client result not captured</t>
        </is>
      </c>
      <c r="AB32" s="15" t="inlineStr">
        <is>
          <t>R031 — AKE_Server_Request_Evidence_2026-10-12.csv</t>
        </is>
      </c>
      <c r="AC32" s="21" t="inlineStr">
        <is>
          <t>Server log verifies the request/status. Raw audio and response transcript were not retained. Participant, consent and session context are from the supplied worksheet screenshot.</t>
        </is>
      </c>
      <c r="AD32" s="15" t="n"/>
    </row>
    <row r="33" ht="44" customHeight="1">
      <c r="A33" s="14" t="inlineStr">
        <is>
          <t>I032</t>
        </is>
      </c>
      <c r="B33" s="20" t="n">
        <v>46307.73233796296</v>
      </c>
      <c r="C33" s="14" t="inlineStr">
        <is>
          <t>P07</t>
        </is>
      </c>
      <c r="D33" s="15" t="inlineStr">
        <is>
          <t>Yes</t>
        </is>
      </c>
      <c r="E33" s="14" t="inlineStr">
        <is>
          <t>S02</t>
        </is>
      </c>
      <c r="F33" s="15" t="inlineStr">
        <is>
          <t>Yoruba</t>
        </is>
      </c>
      <c r="G33" s="15" t="inlineStr">
        <is>
          <t>Roadside/outdoor</t>
        </is>
      </c>
      <c r="H33" s="15" t="inlineStr">
        <is>
          <t>Motorola Moto G 5G / Android 13</t>
        </is>
      </c>
      <c r="I33" s="15" t="inlineStr">
        <is>
          <t>Mobile data</t>
        </is>
      </c>
      <c r="J33" s="15" t="inlineStr">
        <is>
          <t>Indomie noodles</t>
        </is>
      </c>
      <c r="K33" s="15" t="n">
        <v>1</v>
      </c>
      <c r="L33" s="15" t="inlineStr">
        <is>
          <t>carton</t>
        </is>
      </c>
      <c r="M33" s="15" t="n">
        <v>10000</v>
      </c>
      <c r="N33" s="15" t="inlineStr">
        <is>
          <t>Indomie one carton ten thousand naira</t>
        </is>
      </c>
      <c r="O33" s="21" t="inlineStr">
        <is>
          <t>Not captured in supplied client evidence</t>
        </is>
      </c>
      <c r="P33" s="15" t="inlineStr">
        <is>
          <t>NCAIR1/Yoruba-ASR</t>
        </is>
      </c>
      <c r="Q33" s="15" t="n"/>
      <c r="R33" s="15" t="n"/>
      <c r="S33" s="15" t="n"/>
      <c r="T33" s="15" t="n"/>
      <c r="U33" s="15" t="n"/>
      <c r="V33" s="15" t="n"/>
      <c r="W33" s="15" t="n"/>
      <c r="X33" s="15" t="n"/>
      <c r="Y33" s="15" t="n"/>
      <c r="Z33" s="15" t="n"/>
      <c r="AA33" s="15" t="inlineStr">
        <is>
          <t>Server ASR response completed; client result not captured</t>
        </is>
      </c>
      <c r="AB33" s="15" t="inlineStr">
        <is>
          <t>R032 — AKE_Server_Request_Evidence_2026-10-12.csv</t>
        </is>
      </c>
      <c r="AC33" s="21" t="inlineStr">
        <is>
          <t>Server log verifies the request/status. Raw audio and response transcript were not retained. Participant, consent and session context are from the supplied worksheet screenshot.</t>
        </is>
      </c>
      <c r="AD33" s="15" t="n"/>
    </row>
    <row r="34" ht="44" customHeight="1">
      <c r="A34" s="14" t="inlineStr">
        <is>
          <t>I033</t>
        </is>
      </c>
      <c r="B34" s="20" t="n">
        <v>46307.73399305555</v>
      </c>
      <c r="C34" s="14" t="inlineStr">
        <is>
          <t>P07</t>
        </is>
      </c>
      <c r="D34" s="15" t="inlineStr">
        <is>
          <t>Yes</t>
        </is>
      </c>
      <c r="E34" s="14" t="inlineStr">
        <is>
          <t>S03</t>
        </is>
      </c>
      <c r="F34" s="15" t="inlineStr">
        <is>
          <t>Yoruba</t>
        </is>
      </c>
      <c r="G34" s="15" t="inlineStr">
        <is>
          <t>Roadside/outdoor</t>
        </is>
      </c>
      <c r="H34" s="15" t="inlineStr">
        <is>
          <t>Motorola Moto G 5G / Android 13</t>
        </is>
      </c>
      <c r="I34" s="15" t="inlineStr">
        <is>
          <t>Mobile data</t>
        </is>
      </c>
      <c r="J34" s="15" t="inlineStr">
        <is>
          <t>Tin tomatoes</t>
        </is>
      </c>
      <c r="K34" s="15" t="n">
        <v>1</v>
      </c>
      <c r="L34" s="15" t="inlineStr">
        <is>
          <t>carton</t>
        </is>
      </c>
      <c r="M34" s="15" t="n">
        <v>50000</v>
      </c>
      <c r="N34" s="15" t="inlineStr">
        <is>
          <t>Tin tomatoes one carton fifty thousand naira</t>
        </is>
      </c>
      <c r="O34" s="21" t="inlineStr">
        <is>
          <t>Not captured in supplied client evidence</t>
        </is>
      </c>
      <c r="P34" s="15" t="inlineStr">
        <is>
          <t>NCAIR1/Yoruba-ASR</t>
        </is>
      </c>
      <c r="Q34" s="15" t="n"/>
      <c r="R34" s="15" t="n"/>
      <c r="S34" s="15" t="n"/>
      <c r="T34" s="15" t="n"/>
      <c r="U34" s="15" t="n"/>
      <c r="V34" s="15" t="n"/>
      <c r="W34" s="15" t="n"/>
      <c r="X34" s="15" t="n"/>
      <c r="Y34" s="15" t="n"/>
      <c r="Z34" s="15" t="n"/>
      <c r="AA34" s="15" t="inlineStr">
        <is>
          <t>Server ASR response completed; client result not captured</t>
        </is>
      </c>
      <c r="AB34" s="15" t="inlineStr">
        <is>
          <t>R033 — AKE_Server_Request_Evidence_2026-10-12.csv</t>
        </is>
      </c>
      <c r="AC34" s="21" t="inlineStr">
        <is>
          <t>Server log verifies the request/status. Raw audio and response transcript were not retained. Participant, consent and session context are from the supplied worksheet screenshot.</t>
        </is>
      </c>
      <c r="AD34" s="15" t="n"/>
    </row>
    <row r="35" ht="44" customHeight="1">
      <c r="A35" s="14" t="inlineStr">
        <is>
          <t>I034</t>
        </is>
      </c>
      <c r="B35" s="20" t="n">
        <v>46307.89402777778</v>
      </c>
      <c r="C35" s="14" t="inlineStr">
        <is>
          <t>P07</t>
        </is>
      </c>
      <c r="D35" s="15" t="inlineStr">
        <is>
          <t>Yes</t>
        </is>
      </c>
      <c r="E35" s="14" t="inlineStr">
        <is>
          <t>S04</t>
        </is>
      </c>
      <c r="F35" s="15" t="inlineStr">
        <is>
          <t>Yoruba</t>
        </is>
      </c>
      <c r="G35" s="15" t="inlineStr">
        <is>
          <t>Roadside/outdoor</t>
        </is>
      </c>
      <c r="H35" s="15" t="inlineStr">
        <is>
          <t>Motorola Moto G 5G / Android 13</t>
        </is>
      </c>
      <c r="I35" s="15" t="inlineStr">
        <is>
          <t>Mobile data</t>
        </is>
      </c>
      <c r="J35" s="15" t="inlineStr">
        <is>
          <t>Rice</t>
        </is>
      </c>
      <c r="K35" s="15" t="n">
        <v>2</v>
      </c>
      <c r="L35" s="15" t="inlineStr">
        <is>
          <t>bag</t>
        </is>
      </c>
      <c r="M35" s="15" t="n">
        <v>10000</v>
      </c>
      <c r="N35" s="15" t="inlineStr">
        <is>
          <t>Mo ta apo iresi meji, o san ẹgbẹrun mẹwa</t>
        </is>
      </c>
      <c r="O35" s="15" t="inlineStr">
        <is>
          <t>Could not reach the N-ATLaS voice service. Check the connection and retry.</t>
        </is>
      </c>
      <c r="P35" s="15" t="inlineStr">
        <is>
          <t>NCAIR1/Yoruba-ASR</t>
        </is>
      </c>
      <c r="Q35" s="15" t="n"/>
      <c r="R35" s="15" t="n"/>
      <c r="S35" s="15" t="n"/>
      <c r="T35" s="15" t="n"/>
      <c r="U35" s="15" t="n"/>
      <c r="V35" s="15" t="n"/>
      <c r="W35" s="15" t="inlineStr">
        <is>
          <t>No</t>
        </is>
      </c>
      <c r="X35" s="15" t="inlineStr">
        <is>
          <t>No</t>
        </is>
      </c>
      <c r="Y35" s="15" t="inlineStr">
        <is>
          <t>No</t>
        </is>
      </c>
      <c r="Z35" s="15" t="n"/>
      <c r="AA35" s="22" t="inlineStr">
        <is>
          <t>Client timeout; Retry and Enter manually were offered; completion not evidenced</t>
        </is>
      </c>
      <c r="AB35" s="15" t="inlineStr">
        <is>
          <t>screen-20261012-212743.mp4 + R034</t>
        </is>
      </c>
      <c r="AC35" s="15" t="inlineStr">
        <is>
          <t>The server later logged HTTP 200, but the phone timed out first. Safe retry/manual recovery controls were visible.</t>
        </is>
      </c>
      <c r="AD35" s="15" t="inlineStr">
        <is>
          <t>No</t>
        </is>
      </c>
    </row>
    <row r="36" ht="44" customHeight="1">
      <c r="A36" s="14" t="inlineStr">
        <is>
          <t>I035</t>
        </is>
      </c>
      <c r="B36" s="20" t="n">
        <v>46307.89466435185</v>
      </c>
      <c r="C36" s="14" t="inlineStr">
        <is>
          <t>P07</t>
        </is>
      </c>
      <c r="D36" s="15" t="inlineStr">
        <is>
          <t>Yes</t>
        </is>
      </c>
      <c r="E36" s="14" t="inlineStr">
        <is>
          <t>S05</t>
        </is>
      </c>
      <c r="F36" s="15" t="inlineStr">
        <is>
          <t>Yoruba</t>
        </is>
      </c>
      <c r="G36" s="15" t="inlineStr">
        <is>
          <t>Roadside/outdoor</t>
        </is>
      </c>
      <c r="H36" s="15" t="inlineStr">
        <is>
          <t>Motorola Moto G 5G / Android 13</t>
        </is>
      </c>
      <c r="I36" s="15" t="inlineStr">
        <is>
          <t>Mobile data</t>
        </is>
      </c>
      <c r="J36" s="15" t="inlineStr">
        <is>
          <t>Rice</t>
        </is>
      </c>
      <c r="K36" s="15" t="n">
        <v>2</v>
      </c>
      <c r="L36" s="15" t="inlineStr">
        <is>
          <t>bag</t>
        </is>
      </c>
      <c r="M36" s="15" t="n">
        <v>10000</v>
      </c>
      <c r="N36" s="15" t="inlineStr">
        <is>
          <t>Mo ta apo iresi meji, o san ẹgbẹrun mẹwa</t>
        </is>
      </c>
      <c r="O36" s="15" t="inlineStr">
        <is>
          <t>Could not reach the N-ATLaS voice service. Check the connection and retry.</t>
        </is>
      </c>
      <c r="P36" s="15" t="inlineStr">
        <is>
          <t>NCAIR1/Yoruba-ASR</t>
        </is>
      </c>
      <c r="Q36" s="15" t="n"/>
      <c r="R36" s="15" t="n"/>
      <c r="S36" s="15" t="n"/>
      <c r="T36" s="15" t="n"/>
      <c r="U36" s="15" t="n"/>
      <c r="V36" s="15" t="n"/>
      <c r="W36" s="15" t="inlineStr">
        <is>
          <t>No</t>
        </is>
      </c>
      <c r="X36" s="15" t="inlineStr">
        <is>
          <t>No</t>
        </is>
      </c>
      <c r="Y36" s="15" t="inlineStr">
        <is>
          <t>No</t>
        </is>
      </c>
      <c r="Z36" s="15" t="n"/>
      <c r="AA36" s="22" t="inlineStr">
        <is>
          <t>Client timeout; Retry and Enter manually were offered; completion not evidenced</t>
        </is>
      </c>
      <c r="AB36" s="15" t="inlineStr">
        <is>
          <t>screen-20261012-212743.mp4 + R035</t>
        </is>
      </c>
      <c r="AC36" s="15" t="inlineStr">
        <is>
          <t>The server later logged HTTP 200, but the phone timed out first. Safe retry/manual recovery controls were visible.</t>
        </is>
      </c>
      <c r="AD36" s="15" t="inlineStr">
        <is>
          <t>No</t>
        </is>
      </c>
    </row>
    <row r="37" ht="44" customHeight="1">
      <c r="A37" s="14" t="inlineStr">
        <is>
          <t>I036</t>
        </is>
      </c>
      <c r="B37" s="20" t="n">
        <v>46307.89510416667</v>
      </c>
      <c r="C37" s="14" t="inlineStr">
        <is>
          <t>P08</t>
        </is>
      </c>
      <c r="D37" s="15" t="inlineStr">
        <is>
          <t>Yes</t>
        </is>
      </c>
      <c r="E37" s="14" t="inlineStr">
        <is>
          <t>S01</t>
        </is>
      </c>
      <c r="F37" s="15" t="inlineStr">
        <is>
          <t>Yoruba</t>
        </is>
      </c>
      <c r="G37" s="15" t="inlineStr">
        <is>
          <t>Quiet indoor</t>
        </is>
      </c>
      <c r="H37" s="15" t="inlineStr">
        <is>
          <t>Motorola Moto G 5G / Android 13</t>
        </is>
      </c>
      <c r="I37" s="15" t="inlineStr">
        <is>
          <t>Wi-Fi</t>
        </is>
      </c>
      <c r="J37" s="15" t="inlineStr">
        <is>
          <t>Rice</t>
        </is>
      </c>
      <c r="K37" s="15" t="n">
        <v>2</v>
      </c>
      <c r="L37" s="15" t="inlineStr">
        <is>
          <t>bag</t>
        </is>
      </c>
      <c r="M37" s="15" t="n">
        <v>10000</v>
      </c>
      <c r="N37" s="15" t="inlineStr">
        <is>
          <t>Mo ta apo iresi meji, o san ẹgbẹrun mẹwa</t>
        </is>
      </c>
      <c r="O37" s="15" t="inlineStr">
        <is>
          <t>Could not reach the N-ATLaS voice service. Check the connection and retry.</t>
        </is>
      </c>
      <c r="P37" s="15" t="inlineStr">
        <is>
          <t>NCAIR1/Yoruba-ASR</t>
        </is>
      </c>
      <c r="Q37" s="15" t="n"/>
      <c r="R37" s="15" t="n"/>
      <c r="S37" s="15" t="n"/>
      <c r="T37" s="15" t="n"/>
      <c r="U37" s="15" t="n"/>
      <c r="V37" s="15" t="n"/>
      <c r="W37" s="15" t="inlineStr">
        <is>
          <t>No</t>
        </is>
      </c>
      <c r="X37" s="15" t="inlineStr">
        <is>
          <t>No</t>
        </is>
      </c>
      <c r="Y37" s="15" t="inlineStr">
        <is>
          <t>No</t>
        </is>
      </c>
      <c r="Z37" s="15" t="n"/>
      <c r="AA37" s="22" t="inlineStr">
        <is>
          <t>Client timeout; Retry and Enter manually were offered; completion not evidenced</t>
        </is>
      </c>
      <c r="AB37" s="15" t="inlineStr">
        <is>
          <t>screen-20261012-212743.mp4 + R036</t>
        </is>
      </c>
      <c r="AC37" s="15" t="inlineStr">
        <is>
          <t>The server later logged HTTP 200, but the phone timed out first. Safe retry/manual recovery controls were visible.</t>
        </is>
      </c>
      <c r="AD37" s="15" t="inlineStr">
        <is>
          <t>No</t>
        </is>
      </c>
    </row>
    <row r="38" ht="44" customHeight="1">
      <c r="A38" s="14" t="inlineStr">
        <is>
          <t>I037</t>
        </is>
      </c>
      <c r="B38" s="20" t="n">
        <v>46307.89555555556</v>
      </c>
      <c r="C38" s="14" t="inlineStr">
        <is>
          <t>P08</t>
        </is>
      </c>
      <c r="D38" s="15" t="inlineStr">
        <is>
          <t>Yes</t>
        </is>
      </c>
      <c r="E38" s="14" t="inlineStr">
        <is>
          <t>S02</t>
        </is>
      </c>
      <c r="F38" s="15" t="inlineStr">
        <is>
          <t>Yoruba</t>
        </is>
      </c>
      <c r="G38" s="15" t="inlineStr">
        <is>
          <t>Quiet indoor</t>
        </is>
      </c>
      <c r="H38" s="15" t="inlineStr">
        <is>
          <t>Motorola Moto G 5G / Android 13</t>
        </is>
      </c>
      <c r="I38" s="15" t="inlineStr">
        <is>
          <t>Wi-Fi</t>
        </is>
      </c>
      <c r="J38" s="15" t="inlineStr">
        <is>
          <t>Rice</t>
        </is>
      </c>
      <c r="K38" s="15" t="n">
        <v>2</v>
      </c>
      <c r="L38" s="15" t="inlineStr">
        <is>
          <t>bag</t>
        </is>
      </c>
      <c r="M38" s="15" t="n">
        <v>10000</v>
      </c>
      <c r="N38" s="15" t="inlineStr">
        <is>
          <t>Mo ta apo iresi meji, o san ẹgbẹrun mẹwa</t>
        </is>
      </c>
      <c r="O38" s="15" t="inlineStr">
        <is>
          <t>Could not reach the N-ATLaS voice service. Check the connection and retry.</t>
        </is>
      </c>
      <c r="P38" s="15" t="inlineStr">
        <is>
          <t>NCAIR1/Yoruba-ASR</t>
        </is>
      </c>
      <c r="Q38" s="15" t="n"/>
      <c r="R38" s="15" t="n"/>
      <c r="S38" s="15" t="n"/>
      <c r="T38" s="15" t="n"/>
      <c r="U38" s="15" t="n"/>
      <c r="V38" s="15" t="n"/>
      <c r="W38" s="15" t="inlineStr">
        <is>
          <t>No</t>
        </is>
      </c>
      <c r="X38" s="15" t="inlineStr">
        <is>
          <t>No</t>
        </is>
      </c>
      <c r="Y38" s="15" t="inlineStr">
        <is>
          <t>No</t>
        </is>
      </c>
      <c r="Z38" s="15" t="n"/>
      <c r="AA38" s="22" t="inlineStr">
        <is>
          <t>Client timeout; Retry and Enter manually were offered; completion not evidenced</t>
        </is>
      </c>
      <c r="AB38" s="15" t="inlineStr">
        <is>
          <t>screen-20261012-212743.mp4 + R037</t>
        </is>
      </c>
      <c r="AC38" s="15" t="inlineStr">
        <is>
          <t>The server later logged HTTP 200, but the phone timed out first. Safe retry/manual recovery controls were visible.</t>
        </is>
      </c>
      <c r="AD38" s="15" t="inlineStr">
        <is>
          <t>No</t>
        </is>
      </c>
    </row>
    <row r="39" ht="44" customHeight="1">
      <c r="A39" s="14" t="inlineStr">
        <is>
          <t>I038</t>
        </is>
      </c>
      <c r="B39" s="20" t="n">
        <v>46307.89650462963</v>
      </c>
      <c r="C39" s="14" t="inlineStr">
        <is>
          <t>P08</t>
        </is>
      </c>
      <c r="D39" s="15" t="inlineStr">
        <is>
          <t>Yes</t>
        </is>
      </c>
      <c r="E39" s="14" t="inlineStr">
        <is>
          <t>S03</t>
        </is>
      </c>
      <c r="F39" s="15" t="inlineStr">
        <is>
          <t>English</t>
        </is>
      </c>
      <c r="G39" s="15" t="inlineStr">
        <is>
          <t>Quiet indoor</t>
        </is>
      </c>
      <c r="H39" s="15" t="inlineStr">
        <is>
          <t>Motorola Moto G 5G / Android 13</t>
        </is>
      </c>
      <c r="I39" s="15" t="inlineStr">
        <is>
          <t>Wi-Fi</t>
        </is>
      </c>
      <c r="J39" s="15" t="inlineStr">
        <is>
          <t>Rice</t>
        </is>
      </c>
      <c r="K39" s="15" t="n">
        <v>1</v>
      </c>
      <c r="L39" s="15" t="inlineStr">
        <is>
          <t>bag</t>
        </is>
      </c>
      <c r="M39" s="15" t="n">
        <v>70000</v>
      </c>
      <c r="N39" s="15" t="inlineStr">
        <is>
          <t>I sold one bag of rice for seventy thousand naira</t>
        </is>
      </c>
      <c r="O39" s="15" t="inlineStr">
        <is>
          <t>i sold a bag of rice for 70,000 a year.</t>
        </is>
      </c>
      <c r="P39" s="15" t="inlineStr">
        <is>
          <t>NCAIR1/NigerianAccentedEnglish</t>
        </is>
      </c>
      <c r="Q39" s="15" t="inlineStr">
        <is>
          <t>Rice</t>
        </is>
      </c>
      <c r="R39" s="15" t="n">
        <v>1</v>
      </c>
      <c r="S39" s="15" t="n">
        <v>70000</v>
      </c>
      <c r="T39" s="15" t="inlineStr">
        <is>
          <t>Yes</t>
        </is>
      </c>
      <c r="U39" s="15" t="inlineStr">
        <is>
          <t>Yes</t>
        </is>
      </c>
      <c r="V39" s="15" t="inlineStr">
        <is>
          <t>Yes</t>
        </is>
      </c>
      <c r="W39" s="15" t="inlineStr">
        <is>
          <t>Yes</t>
        </is>
      </c>
      <c r="X39" s="15" t="inlineStr">
        <is>
          <t>Yes</t>
        </is>
      </c>
      <c r="Y39" s="15" t="inlineStr">
        <is>
          <t>Yes</t>
        </is>
      </c>
      <c r="Z39" s="15" t="n"/>
      <c r="AA39" s="23" t="inlineStr">
        <is>
          <t>Review screen showed Rice × 1 at ₦70,000; save not evidenced</t>
        </is>
      </c>
      <c r="AB39" s="15" t="inlineStr">
        <is>
          <t>Screenshot_20261012-213102.png; Screenshot_20261012-213108.png; R038</t>
        </is>
      </c>
      <c r="AC39" s="15" t="inlineStr">
        <is>
          <t>“naira” was misrecognized as “a year,” but product, quantity and amount were interpreted correctly and shown for review.</t>
        </is>
      </c>
      <c r="AD39" s="15" t="inlineStr">
        <is>
          <t>Yes</t>
        </is>
      </c>
    </row>
    <row r="40" ht="44" customHeight="1">
      <c r="A40" s="14" t="inlineStr">
        <is>
          <t>I039</t>
        </is>
      </c>
      <c r="B40" s="20" t="n">
        <v>46307.89700231481</v>
      </c>
      <c r="C40" s="14" t="inlineStr">
        <is>
          <t>P08</t>
        </is>
      </c>
      <c r="D40" s="15" t="inlineStr">
        <is>
          <t>Yes</t>
        </is>
      </c>
      <c r="E40" s="14" t="inlineStr">
        <is>
          <t>S04</t>
        </is>
      </c>
      <c r="F40" s="15" t="inlineStr">
        <is>
          <t>English</t>
        </is>
      </c>
      <c r="G40" s="15" t="inlineStr">
        <is>
          <t>Quiet indoor</t>
        </is>
      </c>
      <c r="H40" s="15" t="inlineStr">
        <is>
          <t>Motorola Moto G 5G / Android 13</t>
        </is>
      </c>
      <c r="I40" s="15" t="inlineStr">
        <is>
          <t>Wi-Fi</t>
        </is>
      </c>
      <c r="J40" s="15" t="inlineStr">
        <is>
          <t>Indomie noodles</t>
        </is>
      </c>
      <c r="K40" s="15" t="n">
        <v>1</v>
      </c>
      <c r="L40" s="15" t="inlineStr">
        <is>
          <t>carton</t>
        </is>
      </c>
      <c r="M40" s="15" t="n">
        <v>10000</v>
      </c>
      <c r="N40" s="15" t="inlineStr">
        <is>
          <t>I sold one carton of Indomie for ten thousand naira</t>
        </is>
      </c>
      <c r="O40" s="15" t="inlineStr">
        <is>
          <t>i sold one carton of indomine for n10,000.</t>
        </is>
      </c>
      <c r="P40" s="15" t="inlineStr">
        <is>
          <t>NCAIR1/NigerianAccentedEnglish</t>
        </is>
      </c>
      <c r="Q40" s="15" t="inlineStr">
        <is>
          <t>Indomie noodles</t>
        </is>
      </c>
      <c r="R40" s="15" t="n">
        <v>1</v>
      </c>
      <c r="S40" s="15" t="n"/>
      <c r="T40" s="15" t="inlineStr">
        <is>
          <t>Yes</t>
        </is>
      </c>
      <c r="U40" s="15" t="inlineStr">
        <is>
          <t>Yes</t>
        </is>
      </c>
      <c r="V40" s="15" t="inlineStr">
        <is>
          <t>No</t>
        </is>
      </c>
      <c r="W40" s="15" t="inlineStr">
        <is>
          <t>Yes</t>
        </is>
      </c>
      <c r="X40" s="15" t="inlineStr">
        <is>
          <t>Yes</t>
        </is>
      </c>
      <c r="Y40" s="15" t="n"/>
      <c r="Z40" s="15" t="n"/>
      <c r="AA40" s="15" t="inlineStr">
        <is>
          <t>Product and quantity found; payment needed correction; save not evidenced</t>
        </is>
      </c>
      <c r="AB40" s="15" t="inlineStr">
        <is>
          <t>Screenshot_20261012-213148.png; R039</t>
        </is>
      </c>
      <c r="AC40" s="15" t="inlineStr">
        <is>
          <t>Typo-tolerant product match worked; payment was not accepted automatically.</t>
        </is>
      </c>
      <c r="AD40" s="15" t="inlineStr">
        <is>
          <t>No</t>
        </is>
      </c>
    </row>
    <row r="41" ht="44" customHeight="1">
      <c r="A41" s="14" t="inlineStr">
        <is>
          <t>I040</t>
        </is>
      </c>
      <c r="B41" s="20" t="n">
        <v>46307.8975462963</v>
      </c>
      <c r="C41" s="14" t="inlineStr">
        <is>
          <t>P08</t>
        </is>
      </c>
      <c r="D41" s="15" t="inlineStr">
        <is>
          <t>Yes</t>
        </is>
      </c>
      <c r="E41" s="14" t="inlineStr">
        <is>
          <t>S05</t>
        </is>
      </c>
      <c r="F41" s="15" t="inlineStr">
        <is>
          <t>English</t>
        </is>
      </c>
      <c r="G41" s="15" t="inlineStr">
        <is>
          <t>Quiet indoor</t>
        </is>
      </c>
      <c r="H41" s="15" t="inlineStr">
        <is>
          <t>Motorola Moto G 5G / Android 13</t>
        </is>
      </c>
      <c r="I41" s="15" t="inlineStr">
        <is>
          <t>Wi-Fi</t>
        </is>
      </c>
      <c r="J41" s="15" t="n"/>
      <c r="K41" s="15" t="n"/>
      <c r="L41" s="15" t="n"/>
      <c r="M41" s="15" t="n"/>
      <c r="N41" s="15" t="n"/>
      <c r="O41" s="21" t="inlineStr">
        <is>
          <t>Not captured in supplied client evidence</t>
        </is>
      </c>
      <c r="P41" s="15" t="inlineStr">
        <is>
          <t>NCAIR1/NigerianAccentedEnglish</t>
        </is>
      </c>
      <c r="Q41" s="15" t="n"/>
      <c r="R41" s="15" t="n"/>
      <c r="S41" s="15" t="n"/>
      <c r="T41" s="15" t="n"/>
      <c r="U41" s="15" t="n"/>
      <c r="V41" s="15" t="n"/>
      <c r="W41" s="15" t="n"/>
      <c r="X41" s="15" t="n"/>
      <c r="Y41" s="15" t="n"/>
      <c r="Z41" s="15" t="n"/>
      <c r="AA41" s="15" t="inlineStr">
        <is>
          <t>Server ASR response completed; client result not captured</t>
        </is>
      </c>
      <c r="AB41" s="15" t="inlineStr">
        <is>
          <t>R040 — AKE_Server_Request_Evidence_2026-10-12.csv</t>
        </is>
      </c>
      <c r="AC41" s="21" t="inlineStr">
        <is>
          <t>Server log verifies the request/status. Raw audio and response transcript were not retained. Participant, consent and session context are from the supplied worksheet screenshot.</t>
        </is>
      </c>
      <c r="AD41" s="15" t="n"/>
    </row>
    <row r="42" ht="44" customHeight="1">
      <c r="A42" s="14" t="inlineStr">
        <is>
          <t>I041</t>
        </is>
      </c>
      <c r="B42" s="20" t="n">
        <v>46307.89804398148</v>
      </c>
      <c r="C42" s="14" t="inlineStr">
        <is>
          <t>P09</t>
        </is>
      </c>
      <c r="D42" s="15" t="inlineStr">
        <is>
          <t>Yes</t>
        </is>
      </c>
      <c r="E42" s="14" t="inlineStr">
        <is>
          <t>S01</t>
        </is>
      </c>
      <c r="F42" s="15" t="inlineStr">
        <is>
          <t>English</t>
        </is>
      </c>
      <c r="G42" s="15" t="inlineStr">
        <is>
          <t>Quiet indoor</t>
        </is>
      </c>
      <c r="H42" s="15" t="inlineStr">
        <is>
          <t>Motorola Moto G 5G / Android 13</t>
        </is>
      </c>
      <c r="I42" s="15" t="inlineStr">
        <is>
          <t>Wi-Fi</t>
        </is>
      </c>
      <c r="J42" s="15" t="inlineStr">
        <is>
          <t>Rice</t>
        </is>
      </c>
      <c r="K42" s="15" t="n">
        <v>1</v>
      </c>
      <c r="L42" s="15" t="inlineStr">
        <is>
          <t>bag</t>
        </is>
      </c>
      <c r="M42" s="15" t="n">
        <v>70000</v>
      </c>
      <c r="N42" s="15" t="inlineStr">
        <is>
          <t>Sold one bag of rice for seventy thousand naira</t>
        </is>
      </c>
      <c r="O42" s="21" t="inlineStr">
        <is>
          <t>Not captured in supplied client evidence</t>
        </is>
      </c>
      <c r="P42" s="15" t="inlineStr">
        <is>
          <t>NCAIR1/NigerianAccentedEnglish</t>
        </is>
      </c>
      <c r="Q42" s="15" t="n"/>
      <c r="R42" s="15" t="n"/>
      <c r="S42" s="15" t="n"/>
      <c r="T42" s="15" t="n"/>
      <c r="U42" s="15" t="n"/>
      <c r="V42" s="15" t="n"/>
      <c r="W42" s="15" t="n"/>
      <c r="X42" s="15" t="n"/>
      <c r="Y42" s="15" t="n"/>
      <c r="Z42" s="15" t="n"/>
      <c r="AA42" s="15" t="inlineStr">
        <is>
          <t>Server ASR response completed; client result not captured</t>
        </is>
      </c>
      <c r="AB42" s="15" t="inlineStr">
        <is>
          <t>R041 — AKE_Server_Request_Evidence_2026-10-12.csv</t>
        </is>
      </c>
      <c r="AC42" s="21" t="inlineStr">
        <is>
          <t>Server log verifies the request/status. Raw audio and response transcript were not retained. Participant, consent and session context are from the supplied worksheet screenshot.</t>
        </is>
      </c>
      <c r="AD42" s="15" t="n"/>
    </row>
    <row r="43" ht="44" customHeight="1">
      <c r="A43" s="14" t="inlineStr">
        <is>
          <t>I042</t>
        </is>
      </c>
      <c r="B43" s="20" t="n">
        <v>46307.89877314815</v>
      </c>
      <c r="C43" s="14" t="inlineStr">
        <is>
          <t>P09</t>
        </is>
      </c>
      <c r="D43" s="15" t="inlineStr">
        <is>
          <t>Yes</t>
        </is>
      </c>
      <c r="E43" s="14" t="inlineStr">
        <is>
          <t>S02</t>
        </is>
      </c>
      <c r="F43" s="15" t="inlineStr">
        <is>
          <t>English</t>
        </is>
      </c>
      <c r="G43" s="15" t="inlineStr">
        <is>
          <t>Quiet indoor</t>
        </is>
      </c>
      <c r="H43" s="15" t="inlineStr">
        <is>
          <t>Motorola Moto G 5G / Android 13</t>
        </is>
      </c>
      <c r="I43" s="15" t="inlineStr">
        <is>
          <t>Wi-Fi</t>
        </is>
      </c>
      <c r="J43" s="15" t="inlineStr">
        <is>
          <t>Tin tomatoes</t>
        </is>
      </c>
      <c r="K43" s="15" t="n">
        <v>1</v>
      </c>
      <c r="L43" s="15" t="inlineStr">
        <is>
          <t>carton</t>
        </is>
      </c>
      <c r="M43" s="15" t="n">
        <v>50000</v>
      </c>
      <c r="N43" s="15" t="inlineStr">
        <is>
          <t>Tin tomatoes one carton fifty thousand naira</t>
        </is>
      </c>
      <c r="O43" s="15" t="inlineStr">
        <is>
          <t>i sold three tomatoes for 1 carton for n50,000.</t>
        </is>
      </c>
      <c r="P43" s="15" t="inlineStr">
        <is>
          <t>NCAIR1/NigerianAccentedEnglish</t>
        </is>
      </c>
      <c r="Q43" s="15" t="inlineStr">
        <is>
          <t>Needs correction</t>
        </is>
      </c>
      <c r="R43" s="15" t="n">
        <v>3</v>
      </c>
      <c r="S43" s="15" t="n">
        <v>1</v>
      </c>
      <c r="T43" s="15" t="inlineStr">
        <is>
          <t>No</t>
        </is>
      </c>
      <c r="U43" s="15" t="inlineStr">
        <is>
          <t>No</t>
        </is>
      </c>
      <c r="V43" s="15" t="inlineStr">
        <is>
          <t>No</t>
        </is>
      </c>
      <c r="W43" s="15" t="inlineStr">
        <is>
          <t>No</t>
        </is>
      </c>
      <c r="X43" s="15" t="inlineStr">
        <is>
          <t>Yes</t>
        </is>
      </c>
      <c r="Y43" s="15" t="n"/>
      <c r="Z43" s="15" t="n"/>
      <c r="AA43" s="22" t="inlineStr">
        <is>
          <t>Unsafe interpretation blocked for correction; save not evidenced</t>
        </is>
      </c>
      <c r="AB43" s="15" t="inlineStr">
        <is>
          <t>Screenshot_20261012-213420.png; R042</t>
        </is>
      </c>
      <c r="AC43" s="15" t="inlineStr">
        <is>
          <t>The app did not silently save the incorrect quantity and ₦1 payment.</t>
        </is>
      </c>
      <c r="AD43" s="15" t="inlineStr">
        <is>
          <t>No</t>
        </is>
      </c>
    </row>
    <row r="44" ht="44" customHeight="1">
      <c r="A44" s="14" t="inlineStr">
        <is>
          <t>I043</t>
        </is>
      </c>
      <c r="B44" s="20" t="n">
        <v>46307.89909722222</v>
      </c>
      <c r="C44" s="14" t="inlineStr">
        <is>
          <t>P09</t>
        </is>
      </c>
      <c r="D44" s="15" t="inlineStr">
        <is>
          <t>Yes</t>
        </is>
      </c>
      <c r="E44" s="14" t="inlineStr">
        <is>
          <t>S03</t>
        </is>
      </c>
      <c r="F44" s="15" t="inlineStr">
        <is>
          <t>English</t>
        </is>
      </c>
      <c r="G44" s="15" t="inlineStr">
        <is>
          <t>Quiet indoor</t>
        </is>
      </c>
      <c r="H44" s="15" t="inlineStr">
        <is>
          <t>Motorola Moto G 5G / Android 13</t>
        </is>
      </c>
      <c r="I44" s="15" t="inlineStr">
        <is>
          <t>Wi-Fi</t>
        </is>
      </c>
      <c r="J44" s="15" t="inlineStr">
        <is>
          <t>Tin tomatoes</t>
        </is>
      </c>
      <c r="K44" s="15" t="n">
        <v>1</v>
      </c>
      <c r="L44" s="15" t="inlineStr">
        <is>
          <t>carton</t>
        </is>
      </c>
      <c r="M44" s="15" t="n">
        <v>50000</v>
      </c>
      <c r="N44" s="15" t="inlineStr">
        <is>
          <t>Tin tomatoes one carton fifty thousand naira</t>
        </is>
      </c>
      <c r="O44" s="21" t="inlineStr">
        <is>
          <t>Not captured in supplied client evidence</t>
        </is>
      </c>
      <c r="P44" s="15" t="inlineStr">
        <is>
          <t>NCAIR1/NigerianAccentedEnglish</t>
        </is>
      </c>
      <c r="Q44" s="15" t="n"/>
      <c r="R44" s="15" t="n"/>
      <c r="S44" s="15" t="n"/>
      <c r="T44" s="15" t="n"/>
      <c r="U44" s="15" t="n"/>
      <c r="V44" s="15" t="n"/>
      <c r="W44" s="15" t="n"/>
      <c r="X44" s="15" t="n"/>
      <c r="Y44" s="15" t="n"/>
      <c r="Z44" s="15" t="n"/>
      <c r="AA44" s="15" t="inlineStr">
        <is>
          <t>Server ASR response completed; client result not captured</t>
        </is>
      </c>
      <c r="AB44" s="15" t="inlineStr">
        <is>
          <t>R043 — AKE_Server_Request_Evidence_2026-10-12.csv</t>
        </is>
      </c>
      <c r="AC44" s="21" t="inlineStr">
        <is>
          <t>Server log verifies the request/status. Raw audio and response transcript were not retained. Participant, consent and session context are from the supplied worksheet screenshot.</t>
        </is>
      </c>
      <c r="AD44" s="15" t="n"/>
    </row>
    <row r="45" ht="44" customHeight="1">
      <c r="A45" s="14" t="inlineStr">
        <is>
          <t>I044</t>
        </is>
      </c>
      <c r="B45" s="20" t="n">
        <v>46307.89952546296</v>
      </c>
      <c r="C45" s="14" t="inlineStr">
        <is>
          <t>P09</t>
        </is>
      </c>
      <c r="D45" s="15" t="inlineStr">
        <is>
          <t>Yes</t>
        </is>
      </c>
      <c r="E45" s="14" t="inlineStr">
        <is>
          <t>S04</t>
        </is>
      </c>
      <c r="F45" s="15" t="inlineStr">
        <is>
          <t>English</t>
        </is>
      </c>
      <c r="G45" s="15" t="inlineStr">
        <is>
          <t>Quiet indoor</t>
        </is>
      </c>
      <c r="H45" s="15" t="inlineStr">
        <is>
          <t>Motorola Moto G 5G / Android 13</t>
        </is>
      </c>
      <c r="I45" s="15" t="inlineStr">
        <is>
          <t>Wi-Fi</t>
        </is>
      </c>
      <c r="J45" s="15" t="inlineStr">
        <is>
          <t>Indomie noodles</t>
        </is>
      </c>
      <c r="K45" s="15" t="n">
        <v>1</v>
      </c>
      <c r="L45" s="15" t="inlineStr">
        <is>
          <t>carton</t>
        </is>
      </c>
      <c r="M45" s="15" t="n">
        <v>10000</v>
      </c>
      <c r="N45" s="15" t="inlineStr">
        <is>
          <t>I sold one carton of Indomie for ten thousand naira</t>
        </is>
      </c>
      <c r="O45" s="15" t="inlineStr">
        <is>
          <t>isot one indomit cotton n10,000?</t>
        </is>
      </c>
      <c r="P45" s="15" t="inlineStr">
        <is>
          <t>NCAIR1/NigerianAccentedEnglish</t>
        </is>
      </c>
      <c r="Q45" s="15" t="inlineStr">
        <is>
          <t>Indomie noodles</t>
        </is>
      </c>
      <c r="R45" s="15" t="n">
        <v>1</v>
      </c>
      <c r="S45" s="15" t="n"/>
      <c r="T45" s="15" t="inlineStr">
        <is>
          <t>Yes</t>
        </is>
      </c>
      <c r="U45" s="15" t="inlineStr">
        <is>
          <t>Yes</t>
        </is>
      </c>
      <c r="V45" s="15" t="inlineStr">
        <is>
          <t>No</t>
        </is>
      </c>
      <c r="W45" s="15" t="inlineStr">
        <is>
          <t>No</t>
        </is>
      </c>
      <c r="X45" s="15" t="inlineStr">
        <is>
          <t>Yes</t>
        </is>
      </c>
      <c r="Y45" s="15" t="n"/>
      <c r="Z45" s="15" t="n"/>
      <c r="AA45" s="22" t="inlineStr">
        <is>
          <t>Product and quantity found; payment needed correction; save not evidenced</t>
        </is>
      </c>
      <c r="AB45" s="15" t="inlineStr">
        <is>
          <t>Screenshot_20261012-213524.png; R044</t>
        </is>
      </c>
      <c r="AC45" s="15" t="inlineStr">
        <is>
          <t>Noisy transcript still matched the product, but payment remained blocked for review.</t>
        </is>
      </c>
      <c r="AD45" s="15" t="inlineStr">
        <is>
          <t>No</t>
        </is>
      </c>
    </row>
    <row r="46" ht="44" customHeight="1">
      <c r="A46" s="14" t="inlineStr">
        <is>
          <t>I045</t>
        </is>
      </c>
      <c r="B46" s="20" t="n">
        <v>46307.89994212963</v>
      </c>
      <c r="C46" s="14" t="inlineStr">
        <is>
          <t>P09</t>
        </is>
      </c>
      <c r="D46" s="15" t="inlineStr">
        <is>
          <t>Yes</t>
        </is>
      </c>
      <c r="E46" s="14" t="inlineStr">
        <is>
          <t>S05</t>
        </is>
      </c>
      <c r="F46" s="15" t="inlineStr">
        <is>
          <t>English</t>
        </is>
      </c>
      <c r="G46" s="15" t="inlineStr">
        <is>
          <t>Quiet indoor</t>
        </is>
      </c>
      <c r="H46" s="15" t="inlineStr">
        <is>
          <t>Motorola Moto G 5G / Android 13</t>
        </is>
      </c>
      <c r="I46" s="15" t="inlineStr">
        <is>
          <t>Wi-Fi</t>
        </is>
      </c>
      <c r="J46" s="15" t="inlineStr">
        <is>
          <t>Rice</t>
        </is>
      </c>
      <c r="K46" s="15" t="n">
        <v>1</v>
      </c>
      <c r="L46" s="15" t="inlineStr">
        <is>
          <t>bag</t>
        </is>
      </c>
      <c r="M46" s="15" t="n">
        <v>70000</v>
      </c>
      <c r="N46" s="15" t="inlineStr">
        <is>
          <t>I sold one bag of rice for seventy thousand naira</t>
        </is>
      </c>
      <c r="O46" s="15" t="inlineStr">
        <is>
          <t>i sold one bag of rice, n70,000.</t>
        </is>
      </c>
      <c r="P46" s="15" t="inlineStr">
        <is>
          <t>NCAIR1/NigerianAccentedEnglish</t>
        </is>
      </c>
      <c r="Q46" s="15" t="inlineStr">
        <is>
          <t>Rice</t>
        </is>
      </c>
      <c r="R46" s="15" t="n">
        <v>1</v>
      </c>
      <c r="S46" s="15" t="n">
        <v>70000</v>
      </c>
      <c r="T46" s="15" t="inlineStr">
        <is>
          <t>Yes</t>
        </is>
      </c>
      <c r="U46" s="15" t="inlineStr">
        <is>
          <t>Yes</t>
        </is>
      </c>
      <c r="V46" s="15" t="inlineStr">
        <is>
          <t>Yes</t>
        </is>
      </c>
      <c r="W46" s="15" t="inlineStr">
        <is>
          <t>Yes</t>
        </is>
      </c>
      <c r="X46" s="15" t="inlineStr">
        <is>
          <t>No</t>
        </is>
      </c>
      <c r="Y46" s="15" t="n"/>
      <c r="Z46" s="15" t="n"/>
      <c r="AA46" s="23" t="inlineStr">
        <is>
          <t>Correct review state displayed; save not evidenced</t>
        </is>
      </c>
      <c r="AB46" s="15" t="inlineStr">
        <is>
          <t>Screenshot_20261012-213606.png; R045</t>
        </is>
      </c>
      <c r="AC46" s="15" t="inlineStr">
        <is>
          <t>All observed intent fields were correct before editing.</t>
        </is>
      </c>
      <c r="AD46" s="15" t="inlineStr">
        <is>
          <t>Yes</t>
        </is>
      </c>
    </row>
    <row r="47" ht="44" customHeight="1">
      <c r="A47" s="14" t="inlineStr">
        <is>
          <t>I046</t>
        </is>
      </c>
      <c r="B47" s="20" t="n">
        <v>46307.90148148148</v>
      </c>
      <c r="C47" s="14" t="inlineStr">
        <is>
          <t>P10</t>
        </is>
      </c>
      <c r="D47" s="15" t="inlineStr">
        <is>
          <t>Yes</t>
        </is>
      </c>
      <c r="E47" s="14" t="inlineStr">
        <is>
          <t>S01</t>
        </is>
      </c>
      <c r="F47" s="15" t="inlineStr">
        <is>
          <t>Igbo</t>
        </is>
      </c>
      <c r="G47" s="15" t="inlineStr">
        <is>
          <t>Quiet indoor</t>
        </is>
      </c>
      <c r="H47" s="15" t="inlineStr">
        <is>
          <t>Motorola Moto G 5G / Android 13</t>
        </is>
      </c>
      <c r="I47" s="15" t="inlineStr">
        <is>
          <t>Wi-Fi</t>
        </is>
      </c>
      <c r="J47" s="15" t="inlineStr">
        <is>
          <t>Rice</t>
        </is>
      </c>
      <c r="K47" s="15" t="n">
        <v>1</v>
      </c>
      <c r="L47" s="15" t="inlineStr">
        <is>
          <t>bag</t>
        </is>
      </c>
      <c r="M47" s="15" t="n">
        <v>70000</v>
      </c>
      <c r="N47" s="15" t="inlineStr">
        <is>
          <t>M rere otu akpa Rice na naira puku iri asaa</t>
        </is>
      </c>
      <c r="O47" s="15" t="inlineStr">
        <is>
          <t>e rere m muo ofu akpa rice, 70,000 naira</t>
        </is>
      </c>
      <c r="P47" s="15" t="inlineStr">
        <is>
          <t>NCAIR1/Igbo-ASR</t>
        </is>
      </c>
      <c r="Q47" s="15" t="inlineStr">
        <is>
          <t>Rice</t>
        </is>
      </c>
      <c r="R47" s="15" t="n"/>
      <c r="S47" s="15" t="n">
        <v>70000</v>
      </c>
      <c r="T47" s="15" t="inlineStr">
        <is>
          <t>Yes</t>
        </is>
      </c>
      <c r="U47" s="15" t="inlineStr">
        <is>
          <t>No</t>
        </is>
      </c>
      <c r="V47" s="15" t="inlineStr">
        <is>
          <t>Yes</t>
        </is>
      </c>
      <c r="W47" s="15" t="inlineStr">
        <is>
          <t>Yes</t>
        </is>
      </c>
      <c r="X47" s="15" t="inlineStr">
        <is>
          <t>Yes</t>
        </is>
      </c>
      <c r="Y47" s="15" t="n"/>
      <c r="Z47" s="15" t="n"/>
      <c r="AA47" s="15" t="inlineStr">
        <is>
          <t>Product and payment found; quantity needed correction; save not evidenced</t>
        </is>
      </c>
      <c r="AB47" s="15" t="inlineStr">
        <is>
          <t>Screenshot_20261012-213811.png; R046</t>
        </is>
      </c>
      <c r="AC47" s="15" t="inlineStr">
        <is>
          <t>Official Igbo route returned a genuine physical transcript after the v1.2.3 repair.</t>
        </is>
      </c>
      <c r="AD47" s="15" t="inlineStr">
        <is>
          <t>No</t>
        </is>
      </c>
    </row>
    <row r="48" ht="44" customHeight="1">
      <c r="A48" s="14" t="inlineStr">
        <is>
          <t>I047</t>
        </is>
      </c>
      <c r="B48" s="20" t="n">
        <v>46307.90217592593</v>
      </c>
      <c r="C48" s="14" t="inlineStr">
        <is>
          <t>P10</t>
        </is>
      </c>
      <c r="D48" s="15" t="inlineStr">
        <is>
          <t>Yes</t>
        </is>
      </c>
      <c r="E48" s="14" t="inlineStr">
        <is>
          <t>S02</t>
        </is>
      </c>
      <c r="F48" s="15" t="inlineStr">
        <is>
          <t>Igbo</t>
        </is>
      </c>
      <c r="G48" s="15" t="inlineStr">
        <is>
          <t>Quiet indoor</t>
        </is>
      </c>
      <c r="H48" s="15" t="inlineStr">
        <is>
          <t>Motorola Moto G 5G / Android 13</t>
        </is>
      </c>
      <c r="I48" s="15" t="inlineStr">
        <is>
          <t>Wi-Fi</t>
        </is>
      </c>
      <c r="J48" s="15" t="inlineStr">
        <is>
          <t>Indomie noodles</t>
        </is>
      </c>
      <c r="K48" s="15" t="n">
        <v>1</v>
      </c>
      <c r="L48" s="15" t="inlineStr">
        <is>
          <t>carton</t>
        </is>
      </c>
      <c r="M48" s="15" t="n">
        <v>10000</v>
      </c>
      <c r="N48" s="15" t="inlineStr">
        <is>
          <t>M rere otu katon Indomie noodles na naira puku iri</t>
        </is>
      </c>
      <c r="O48" s="15" t="inlineStr">
        <is>
          <t>erere m okpukaton indomi, tenta ozo naira</t>
        </is>
      </c>
      <c r="P48" s="15" t="inlineStr">
        <is>
          <t>NCAIR1/Igbo-ASR</t>
        </is>
      </c>
      <c r="Q48" s="15" t="inlineStr">
        <is>
          <t>Indomie noodles</t>
        </is>
      </c>
      <c r="R48" s="15" t="n"/>
      <c r="S48" s="15" t="n"/>
      <c r="T48" s="15" t="inlineStr">
        <is>
          <t>Yes</t>
        </is>
      </c>
      <c r="U48" s="15" t="inlineStr">
        <is>
          <t>No</t>
        </is>
      </c>
      <c r="V48" s="15" t="inlineStr">
        <is>
          <t>No</t>
        </is>
      </c>
      <c r="W48" s="15" t="inlineStr">
        <is>
          <t>No</t>
        </is>
      </c>
      <c r="X48" s="15" t="inlineStr">
        <is>
          <t>Yes</t>
        </is>
      </c>
      <c r="Y48" s="15" t="n"/>
      <c r="Z48" s="15" t="n"/>
      <c r="AA48" s="22" t="inlineStr">
        <is>
          <t>Correction screen opened; completed save not evidenced</t>
        </is>
      </c>
      <c r="AB48" s="15" t="inlineStr">
        <is>
          <t>Screenshot_20261012-213912.png; screen-20261012-213925.mp4; R047</t>
        </is>
      </c>
      <c r="AC48" s="15" t="inlineStr">
        <is>
          <t>Product match worked. Video shows Review/Edit opening with a ₦10,000 correction, but no completed save is visible.</t>
        </is>
      </c>
      <c r="AD48" s="15" t="inlineStr">
        <is>
          <t>No</t>
        </is>
      </c>
    </row>
    <row r="49" ht="44" customHeight="1">
      <c r="A49" s="14" t="inlineStr">
        <is>
          <t>I048</t>
        </is>
      </c>
      <c r="B49" s="20" t="n">
        <v>46307.90290509259</v>
      </c>
      <c r="C49" s="14" t="inlineStr">
        <is>
          <t>P10</t>
        </is>
      </c>
      <c r="D49" s="15" t="inlineStr">
        <is>
          <t>Yes</t>
        </is>
      </c>
      <c r="E49" s="14" t="inlineStr">
        <is>
          <t>S03</t>
        </is>
      </c>
      <c r="F49" s="15" t="inlineStr">
        <is>
          <t>Igbo</t>
        </is>
      </c>
      <c r="G49" s="15" t="inlineStr">
        <is>
          <t>Quiet indoor</t>
        </is>
      </c>
      <c r="H49" s="15" t="inlineStr">
        <is>
          <t>Motorola Moto G 5G / Android 13</t>
        </is>
      </c>
      <c r="I49" s="15" t="inlineStr">
        <is>
          <t>Wi-Fi</t>
        </is>
      </c>
      <c r="J49" s="15" t="inlineStr">
        <is>
          <t>Tin tomatoes</t>
        </is>
      </c>
      <c r="K49" s="15" t="n">
        <v>1</v>
      </c>
      <c r="L49" s="15" t="inlineStr">
        <is>
          <t>carton</t>
        </is>
      </c>
      <c r="M49" s="15" t="n">
        <v>50000</v>
      </c>
      <c r="N49" s="15" t="inlineStr">
        <is>
          <t>M rere otu katon Tin tomatoes na naira puku iri ise</t>
        </is>
      </c>
      <c r="O49" s="21" t="inlineStr">
        <is>
          <t>Not captured in supplied client evidence</t>
        </is>
      </c>
      <c r="P49" s="15" t="inlineStr">
        <is>
          <t>NCAIR1/Igbo-ASR</t>
        </is>
      </c>
      <c r="Q49" s="15" t="n"/>
      <c r="R49" s="15" t="n"/>
      <c r="S49" s="15" t="n"/>
      <c r="T49" s="15" t="n"/>
      <c r="U49" s="15" t="n"/>
      <c r="V49" s="15" t="n"/>
      <c r="W49" s="15" t="n"/>
      <c r="X49" s="15" t="n"/>
      <c r="Y49" s="15" t="n"/>
      <c r="Z49" s="15" t="n"/>
      <c r="AA49" s="15" t="inlineStr">
        <is>
          <t>Server ASR response completed; client result not captured</t>
        </is>
      </c>
      <c r="AB49" s="15" t="inlineStr">
        <is>
          <t>R048 — AKE_Server_Request_Evidence_2026-10-12.csv</t>
        </is>
      </c>
      <c r="AC49" s="21" t="inlineStr">
        <is>
          <t>Server log verifies the request/status. Raw audio and response transcript were not retained. Participant, consent and session context are from the supplied worksheet screenshot.</t>
        </is>
      </c>
      <c r="AD49" s="15" t="n"/>
    </row>
    <row r="50" ht="44" customHeight="1">
      <c r="A50" s="14" t="inlineStr">
        <is>
          <t>I049</t>
        </is>
      </c>
      <c r="B50" s="20" t="n">
        <v>46307.9030787037</v>
      </c>
      <c r="C50" s="14" t="inlineStr">
        <is>
          <t>P10</t>
        </is>
      </c>
      <c r="D50" s="15" t="inlineStr">
        <is>
          <t>Yes</t>
        </is>
      </c>
      <c r="E50" s="14" t="inlineStr">
        <is>
          <t>S04</t>
        </is>
      </c>
      <c r="F50" s="15" t="inlineStr">
        <is>
          <t>Igbo</t>
        </is>
      </c>
      <c r="G50" s="15" t="inlineStr">
        <is>
          <t>Quiet indoor</t>
        </is>
      </c>
      <c r="H50" s="15" t="inlineStr">
        <is>
          <t>Motorola Moto G 5G / Android 13</t>
        </is>
      </c>
      <c r="I50" s="15" t="inlineStr">
        <is>
          <t>Wi-Fi</t>
        </is>
      </c>
      <c r="J50" s="15" t="n"/>
      <c r="K50" s="15" t="n"/>
      <c r="L50" s="15" t="n"/>
      <c r="M50" s="15" t="n"/>
      <c r="N50" s="15" t="n"/>
      <c r="O50" s="15" t="inlineStr">
        <is>
          <t>No speech was recognized. Please speak closer to the phone.</t>
        </is>
      </c>
      <c r="P50" s="15" t="inlineStr">
        <is>
          <t>NCAIR1/Igbo-ASR</t>
        </is>
      </c>
      <c r="Q50" s="15" t="n"/>
      <c r="R50" s="15" t="n"/>
      <c r="S50" s="15" t="n"/>
      <c r="T50" s="15" t="n"/>
      <c r="U50" s="15" t="n"/>
      <c r="V50" s="15" t="n"/>
      <c r="W50" s="15" t="inlineStr">
        <is>
          <t>No</t>
        </is>
      </c>
      <c r="X50" s="15" t="inlineStr">
        <is>
          <t>No</t>
        </is>
      </c>
      <c r="Y50" s="15" t="inlineStr">
        <is>
          <t>No</t>
        </is>
      </c>
      <c r="Z50" s="15" t="n"/>
      <c r="AA50" s="22" t="inlineStr">
        <is>
          <t>Failed safely — HTTP 422; no transaction saved</t>
        </is>
      </c>
      <c r="AB50" s="15" t="inlineStr">
        <is>
          <t>R049 — AKE_Server_Request_Evidence_2026-10-12.csv</t>
        </is>
      </c>
      <c r="AC50" s="15" t="inlineStr">
        <is>
          <t>Server rejected unusable/no-speech input. No hallucinated transaction was produced.</t>
        </is>
      </c>
      <c r="AD50" s="15" t="inlineStr">
        <is>
          <t>No</t>
        </is>
      </c>
    </row>
    <row r="51" ht="44" customHeight="1">
      <c r="A51" s="14" t="inlineStr">
        <is>
          <t>I050</t>
        </is>
      </c>
      <c r="B51" s="20" t="n">
        <v>46307.90349537037</v>
      </c>
      <c r="C51" s="14" t="inlineStr">
        <is>
          <t>P10</t>
        </is>
      </c>
      <c r="D51" s="15" t="inlineStr">
        <is>
          <t>Yes</t>
        </is>
      </c>
      <c r="E51" s="14" t="inlineStr">
        <is>
          <t>S05</t>
        </is>
      </c>
      <c r="F51" s="15" t="inlineStr">
        <is>
          <t>Igbo</t>
        </is>
      </c>
      <c r="G51" s="15" t="inlineStr">
        <is>
          <t>Quiet indoor</t>
        </is>
      </c>
      <c r="H51" s="15" t="inlineStr">
        <is>
          <t>Motorola Moto G 5G / Android 13</t>
        </is>
      </c>
      <c r="I51" s="15" t="inlineStr">
        <is>
          <t>Wi-Fi</t>
        </is>
      </c>
      <c r="J51" s="15" t="inlineStr">
        <is>
          <t>Tin tomatoes</t>
        </is>
      </c>
      <c r="K51" s="15" t="n">
        <v>1</v>
      </c>
      <c r="L51" s="15" t="inlineStr">
        <is>
          <t>carton</t>
        </is>
      </c>
      <c r="M51" s="15" t="n">
        <v>50000</v>
      </c>
      <c r="N51" s="15" t="inlineStr">
        <is>
          <t>M rere otu katon Tin tomatoes na naira puku iri ise</t>
        </is>
      </c>
      <c r="O51" s="15" t="inlineStr">
        <is>
          <t>e nwere m ofu kato n'utomati ofu kato n'utomato, 15,000 naira</t>
        </is>
      </c>
      <c r="P51" s="15" t="inlineStr">
        <is>
          <t>NCAIR1/Igbo-ASR</t>
        </is>
      </c>
      <c r="Q51" s="15" t="inlineStr">
        <is>
          <t>Needs correction</t>
        </is>
      </c>
      <c r="R51" s="15" t="n"/>
      <c r="S51" s="15" t="n">
        <v>15000</v>
      </c>
      <c r="T51" s="15" t="inlineStr">
        <is>
          <t>No</t>
        </is>
      </c>
      <c r="U51" s="15" t="inlineStr">
        <is>
          <t>No</t>
        </is>
      </c>
      <c r="V51" s="15" t="inlineStr">
        <is>
          <t>No</t>
        </is>
      </c>
      <c r="W51" s="15" t="inlineStr">
        <is>
          <t>No</t>
        </is>
      </c>
      <c r="X51" s="15" t="inlineStr">
        <is>
          <t>Yes</t>
        </is>
      </c>
      <c r="Y51" s="15" t="n"/>
      <c r="Z51" s="15" t="n"/>
      <c r="AA51" s="22" t="inlineStr">
        <is>
          <t>Incorrect interpretation blocked for correction; save not evidenced</t>
        </is>
      </c>
      <c r="AB51" s="15" t="inlineStr">
        <is>
          <t>Screenshot_20261012-214105.png; R050</t>
        </is>
      </c>
      <c r="AC51" s="15" t="inlineStr">
        <is>
          <t>Expected ₦50,000 but transcript/parse showed ₦15,000; the app required correction instead of saving.</t>
        </is>
      </c>
      <c r="AD51" s="15" t="inlineStr">
        <is>
          <t>No</t>
        </is>
      </c>
    </row>
  </sheetData>
  <autoFilter ref="A1:AD51"/>
  <conditionalFormatting sqref="A2:AD51">
    <cfRule type="expression" priority="1" dxfId="0">
      <formula>$D2="Yes"</formula>
    </cfRule>
  </conditionalFormatting>
  <conditionalFormatting sqref="D2:D51">
    <cfRule type="expression" priority="2" dxfId="1">
      <formula>$D2="No"</formula>
    </cfRule>
  </conditionalFormatting>
  <conditionalFormatting sqref="AD2:AD51">
    <cfRule type="expression" priority="3" dxfId="2">
      <formula>$AD2="No"</formula>
    </cfRule>
  </conditionalFormatting>
  <dataValidations count="11">
    <dataValidation sqref="D2:D51" showDropDown="0" showInputMessage="1" showErrorMessage="1" allowBlank="1" errorTitle="Use a listed value" error="Select an option from the dropdown." promptTitle="Choose a documented value" prompt="Yes only after the participant gives clear consent." type="list">
      <formula1>=Lists!$A$1:$A$2</formula1>
    </dataValidation>
    <dataValidation sqref="F2:F51" showDropDown="0" showInputMessage="1" showErrorMessage="1" allowBlank="1" errorTitle="Use a listed value" error="Select an option from the dropdown." promptTitle="Choose a documented value" prompt="Choose the app/ASR language used for this attempt." type="list">
      <formula1>=Lists!$B$1:$B$4</formula1>
    </dataValidation>
    <dataValidation sqref="G2:G51" showDropDown="0" showInputMessage="1" showErrorMessage="1" allowBlank="1" errorTitle="Use a listed value" error="Select an option from the dropdown." promptTitle="Choose a documented value" prompt="Record the actual noise setting." type="list">
      <formula1>=Lists!$C$1:$C$5</formula1>
    </dataValidation>
    <dataValidation sqref="I2:I51" showDropDown="0" showInputMessage="1" showErrorMessage="1" allowBlank="1" errorTitle="Use a listed value" error="Select an option from the dropdown." promptTitle="Choose a documented value" prompt="Record the connection used." type="list">
      <formula1>=Lists!$D$1:$D$3</formula1>
    </dataValidation>
    <dataValidation sqref="T2:T51" showDropDown="0" showInputMessage="1" showErrorMessage="1" allowBlank="1" errorTitle="Use a listed value" error="Select an option from the dropdown." promptTitle="Choose a documented value" prompt="Record what actually happened; do not estimate." type="list">
      <formula1>=Lists!$A$1:$A$2</formula1>
    </dataValidation>
    <dataValidation sqref="U2:U51" showDropDown="0" showInputMessage="1" showErrorMessage="1" allowBlank="1" errorTitle="Use a listed value" error="Select an option from the dropdown." promptTitle="Choose a documented value" prompt="Record what actually happened; do not estimate." type="list">
      <formula1>=Lists!$A$1:$A$2</formula1>
    </dataValidation>
    <dataValidation sqref="V2:V51" showDropDown="0" showInputMessage="1" showErrorMessage="1" allowBlank="1" errorTitle="Use a listed value" error="Select an option from the dropdown." promptTitle="Choose a documented value" prompt="Record what actually happened; do not estimate." type="list">
      <formula1>=Lists!$A$1:$A$2</formula1>
    </dataValidation>
    <dataValidation sqref="W2:W51" showDropDown="0" showInputMessage="1" showErrorMessage="1" allowBlank="1" errorTitle="Use a listed value" error="Select an option from the dropdown." promptTitle="Choose a documented value" prompt="Record what actually happened; do not estimate." type="list">
      <formula1>=Lists!$A$1:$A$2</formula1>
    </dataValidation>
    <dataValidation sqref="X2:X51" showDropDown="0" showInputMessage="1" showErrorMessage="1" allowBlank="1" errorTitle="Use a listed value" error="Select an option from the dropdown." promptTitle="Choose a documented value" prompt="Record what actually happened; do not estimate." type="list">
      <formula1>=Lists!$A$1:$A$2</formula1>
    </dataValidation>
    <dataValidation sqref="Y2:Y51" showDropDown="0" showInputMessage="1" showErrorMessage="1" allowBlank="1" errorTitle="Use a listed value" error="Select an option from the dropdown." promptTitle="Choose a documented value" prompt="Record what actually happened; do not estimate." type="list">
      <formula1>=Lists!$A$1:$A$2</formula1>
    </dataValidation>
    <dataValidation sqref="AA2:AA51" showDropDown="0" showInputMessage="1" showErrorMessage="1" allowBlank="1" errorTitle="Use a listed value" error="Select an option from the dropdown." promptTitle="Choose a documented value" prompt="Choose the final, truthful outcome." type="list">
      <formula1>=Lists!$E$1:$E$5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Yes</t>
        </is>
      </c>
      <c r="B1" t="inlineStr">
        <is>
          <t>English</t>
        </is>
      </c>
      <c r="C1" t="inlineStr">
        <is>
          <t>Quiet indoor</t>
        </is>
      </c>
      <c r="D1" t="inlineStr">
        <is>
          <t>Wi-Fi</t>
        </is>
      </c>
      <c r="E1" t="inlineStr">
        <is>
          <t>Confirmed and saved</t>
        </is>
      </c>
      <c r="F1" t="inlineStr">
        <is>
          <t>None</t>
        </is>
      </c>
    </row>
    <row r="2">
      <c r="A2" t="inlineStr">
        <is>
          <t>No</t>
        </is>
      </c>
      <c r="B2" t="inlineStr">
        <is>
          <t>Yoruba</t>
        </is>
      </c>
      <c r="C2" t="inlineStr">
        <is>
          <t>Normal shop</t>
        </is>
      </c>
      <c r="D2" t="inlineStr">
        <is>
          <t>Mobile data</t>
        </is>
      </c>
      <c r="E2" t="inlineStr">
        <is>
          <t>Corrected then saved</t>
        </is>
      </c>
      <c r="F2" t="inlineStr">
        <is>
          <t>Minor wording only</t>
        </is>
      </c>
    </row>
    <row r="3">
      <c r="B3" t="inlineStr">
        <is>
          <t>Hausa</t>
        </is>
      </c>
      <c r="C3" t="inlineStr">
        <is>
          <t>Busy market</t>
        </is>
      </c>
      <c r="D3" t="inlineStr">
        <is>
          <t>Offline/service failure</t>
        </is>
      </c>
      <c r="E3" t="inlineStr">
        <is>
          <t>Cancelled safely</t>
        </is>
      </c>
      <c r="F3" t="inlineStr">
        <is>
          <t>Product corrected</t>
        </is>
      </c>
    </row>
    <row r="4">
      <c r="B4" t="inlineStr">
        <is>
          <t>Igbo</t>
        </is>
      </c>
      <c r="C4" t="inlineStr">
        <is>
          <t>Roadside/outdoor</t>
        </is>
      </c>
      <c r="E4" t="inlineStr">
        <is>
          <t>Failed safely</t>
        </is>
      </c>
      <c r="F4" t="inlineStr">
        <is>
          <t>Quantity corrected</t>
        </is>
      </c>
    </row>
    <row r="5">
      <c r="C5" t="inlineStr">
        <is>
          <t>Other</t>
        </is>
      </c>
      <c r="E5" t="inlineStr">
        <is>
          <t>Other</t>
        </is>
      </c>
      <c r="F5" t="inlineStr">
        <is>
          <t>Amount corrected</t>
        </is>
      </c>
    </row>
    <row r="6">
      <c r="F6" t="inlineStr">
        <is>
          <t>Multiple fields corrected</t>
        </is>
      </c>
    </row>
    <row r="7">
      <c r="F7" t="inlineStr">
        <is>
          <t>Retry required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12" customWidth="1" min="1" max="1"/>
    <col width="28" customWidth="1" min="2" max="2"/>
    <col width="74" customWidth="1" min="3" max="3"/>
    <col width="64" customWidth="1" min="4" max="4"/>
  </cols>
  <sheetData>
    <row r="1" ht="34" customHeight="1">
      <c r="A1" s="16" t="inlineStr">
        <is>
          <t>Scenario</t>
        </is>
      </c>
      <c r="B1" s="16" t="inlineStr">
        <is>
          <t>Purpose</t>
        </is>
      </c>
      <c r="C1" s="16" t="inlineStr">
        <is>
          <t>Participant instruction</t>
        </is>
      </c>
      <c r="D1" s="16" t="inlineStr">
        <is>
          <t>Evidence to capture</t>
        </is>
      </c>
    </row>
    <row r="2" ht="66" customHeight="1">
      <c r="A2" s="17" t="inlineStr">
        <is>
          <t>S01</t>
        </is>
      </c>
      <c r="B2" s="17" t="inlineStr">
        <is>
          <t>Simple complete sale</t>
        </is>
      </c>
      <c r="C2" s="17" t="inlineStr">
        <is>
          <t>Use a familiar saved item. Say one product, quantity and full amount naturally.</t>
        </is>
      </c>
      <c r="D2" s="17" t="inlineStr">
        <is>
          <t>Relevant transcript; correct product, quantity and amount; review shown.</t>
        </is>
      </c>
    </row>
    <row r="3" ht="66" customHeight="1">
      <c r="A3" s="17" t="inlineStr">
        <is>
          <t>S02</t>
        </is>
      </c>
      <c r="B3" s="17" t="inlineStr">
        <is>
          <t>Product-first shorthand</t>
        </is>
      </c>
      <c r="C3" s="17" t="inlineStr">
        <is>
          <t>Begin with the product name and omit “sold/ta”; include quantity, unit and amount.</t>
        </is>
      </c>
      <c r="D3" s="17" t="inlineStr">
        <is>
          <t>Product-first phrase is understood or safely offered for correction.</t>
        </is>
      </c>
    </row>
    <row r="4" ht="66" customHeight="1">
      <c r="A4" s="17" t="inlineStr">
        <is>
          <t>S03</t>
        </is>
      </c>
      <c r="B4" s="17" t="inlineStr">
        <is>
          <t>Custom non-catalog product</t>
        </is>
      </c>
      <c r="C4" s="17" t="inlineStr">
        <is>
          <t>Use a genuinely saved custom product name that was typed by the trader, not selected from suggestions.</t>
        </is>
      </c>
      <c r="D4" s="17" t="inlineStr">
        <is>
          <t>Exact/fuzzy custom product match; no generic-unit-only guess.</t>
        </is>
      </c>
    </row>
    <row r="5" ht="66" customHeight="1">
      <c r="A5" s="17" t="inlineStr">
        <is>
          <t>S04</t>
        </is>
      </c>
      <c r="B5" s="17" t="inlineStr">
        <is>
          <t>Correction and recovery</t>
        </is>
      </c>
      <c r="C5" s="17" t="inlineStr">
        <is>
          <t>Speak naturally, then deliberately use Review/Edit to inspect or correct one field before any save.</t>
        </is>
      </c>
      <c r="D5" s="17" t="inlineStr">
        <is>
          <t>Transcript preserved; edited result correct; no silent save.</t>
        </is>
      </c>
    </row>
    <row r="6" ht="66" customHeight="1">
      <c r="A6" s="17" t="inlineStr">
        <is>
          <t>S05</t>
        </is>
      </c>
      <c r="B6" s="17" t="inlineStr">
        <is>
          <t>Realistic environment</t>
        </is>
      </c>
      <c r="C6" s="17" t="inlineStr">
        <is>
          <t>Repeat a normal sale in the participant’s genuine shop/market noise and normal accent.</t>
        </is>
      </c>
      <c r="D6" s="17" t="inlineStr">
        <is>
          <t>Noise setting, transcript, latency, safe success/failure and recovery.</t>
        </is>
      </c>
    </row>
    <row r="7" ht="66" customHeight="1">
      <c r="A7" s="17" t="inlineStr">
        <is>
          <t>S06</t>
        </is>
      </c>
      <c r="B7" s="17" t="inlineStr">
        <is>
          <t>Partial payment/debt</t>
        </is>
      </c>
      <c r="C7" s="17" t="inlineStr">
        <is>
          <t>State a payment below the expected sale total and review customer/debt handling.</t>
        </is>
      </c>
      <c r="D7" s="17" t="inlineStr">
        <is>
          <t>No invented amount; customer requirement and debt review are safe.</t>
        </is>
      </c>
    </row>
    <row r="8" ht="66" customHeight="1">
      <c r="A8" s="17" t="inlineStr">
        <is>
          <t>S07</t>
        </is>
      </c>
      <c r="B8" s="17" t="inlineStr">
        <is>
          <t>Generic unit safety</t>
        </is>
      </c>
      <c r="C8" s="17" t="inlineStr">
        <is>
          <t>Say only a generic unit such as “carton” once as a safety check.</t>
        </is>
      </c>
      <c r="D8" s="17" t="inlineStr">
        <is>
          <t>App does not guess a product; safe correction/fallback.</t>
        </is>
      </c>
    </row>
    <row r="9" ht="66" customHeight="1">
      <c r="A9" s="17" t="inlineStr">
        <is>
          <t>S08</t>
        </is>
      </c>
      <c r="B9" s="17" t="inlineStr">
        <is>
          <t>Connectivity recovery</t>
        </is>
      </c>
      <c r="C9" s="17" t="inlineStr">
        <is>
          <t>Attempt once with service/network unavailable, then restore connection or continue manually.</t>
        </is>
      </c>
      <c r="D9" s="17" t="inlineStr">
        <is>
          <t>Clear error, retry/manual path, no duplicate save.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AKE Market Ledger project</dc:creator>
  <dc:title xmlns:dc="http://purl.org/dc/elements/1.1/">AKE Market Ledger 50 Real-User Validation Tracker</dc:title>
  <dc:subject xmlns:dc="http://purl.org/dc/elements/1.1/">Consent-safe N-ATLaS voice interaction evidence</dc:subject>
  <dcterms:created xmlns:dcterms="http://purl.org/dc/terms/" xmlns:xsi="http://www.w3.org/2001/XMLSchema-instance" xsi:type="dcterms:W3CDTF">2026-10-11T19:21:18Z</dcterms:created>
  <dcterms:modified xmlns:dcterms="http://purl.org/dc/terms/" xmlns:xsi="http://www.w3.org/2001/XMLSchema-instance" xsi:type="dcterms:W3CDTF">2026-10-12T21:07:35Z</dcterms:modified>
</cp:coreProperties>
</file>